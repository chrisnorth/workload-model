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661" documentId="8_{10702854-9EE2-4D67-90CE-85FDD07A66EE}" xr6:coauthVersionLast="47" xr6:coauthVersionMax="47" xr10:uidLastSave="{107916D0-1B77-496C-8415-39B0FFE99FFA}"/>
  <bookViews>
    <workbookView xWindow="-98" yWindow="-98" windowWidth="26116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<sst xmlns="http://schemas.openxmlformats.org/spreadsheetml/2006/main" count="2886" uniqueCount="382">
  <si>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</si>
  <si>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</si>
  <si>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</si>
  <si>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</si>
  <si>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</si>
  <si>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</si>
  <si>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</si>
  <si>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</si>
  <si>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</si>
  <si>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</si>
  <si>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</si>
  <si>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</si>
  <si>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</si>
  <si>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</si>
  <si>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</si>
  <si>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</si>
  <si>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</si>
  <si>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</si>
  <si>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</si>
  <si>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</si>
  <si>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</si>
  <si>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</si>
  <si>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</si>
  <si>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</si>
  <si>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</si>
  <si>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</si>
  <si>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</si>
  <si>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</si>
  <si>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</si>
  <si>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</si>
  <si>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</si>
  <si>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</si>
  <si>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</si>
  <si>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</si>
  <si>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</si>
  <si>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</si>
  <si>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</si>
  <si>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</si>
  <si>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</si>
  <si>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</si>
  <si>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</si>
  <si>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</si>
  <si>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</si>
  <si>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</si>
  <si>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</si>
  <si>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</si>
  <si>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</si>
  <si>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</si>
  <si>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</si>
  <si>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</si>
  <si>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</si>
  <si>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</si>
  <si>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</si>
  <si>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</si>
  <si>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</si>
  <si>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</si>
  <si>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</si>
  <si>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</si>
  <si>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</si>
  <si>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</si>
  <si>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</si>
  <si>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</si>
  <si>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</si>
  <si>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</si>
  <si>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</si>
  <si>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</si>
  <si>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</si>
  <si>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</si>
  <si>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</si>
  <si>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</si>
  <si>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</si>
  <si>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</si>
  <si>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</si>
  <si>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</si>
  <si>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</si>
  <si>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</si>
  <si>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</si>
  <si>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</si>
  <si>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</si>
  <si>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</si>
  <si>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</si>
  <si>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</si>
  <si>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</si>
  <si>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</si>
  <si>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</si>
  <si>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</si>
  <si>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</si>
  <si>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</si>
  <si>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</si>
  <si>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</si>
  <si>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</si>
  <si>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</si>
  <si>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</si>
  <si>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</si>
  <si>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</si>
  <si>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</si>
  <si>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</si>
  <si>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</si>
  <si>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</si>
  <si>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</si>
  <si>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</si>
  <si>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</si>
  <si>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</si>
  <si>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</si>
  <si>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</si>
  <si>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</si>
  <si>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</si>
  <si>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</si>
  <si>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</si>
  <si>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</si>
  <si>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</si>
  <si>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</si>
  <si>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</si>
  <si>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</si>
  <si>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</si>
  <si>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</si>
  <si>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</si>
  <si>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</si>
  <si>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</si>
  <si>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</si>
  <si>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</si>
  <si>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</si>
  <si>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</si>
  <si>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</si>
  <si>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</si>
  <si>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</si>
  <si>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</si>
  <si>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</si>
  <si>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</si>
  <si>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</si>
  <si>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</si>
  <si>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</si>
  <si>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</si>
  <si>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</si>
  <si>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</si>
  <si>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</si>
  <si>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</si>
  <si>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</si>
  <si>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</si>
  <si>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</si>
  <si>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</si>
  <si>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</si>
  <si>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</si>
  <si>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</si>
  <si>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</si>
  <si>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</si>
  <si>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</si>
  <si>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</si>
  <si>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</si>
  <si>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</si>
  <si>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</si>
  <si>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</si>
  <si>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</si>
  <si>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</si>
  <si>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</si>
  <si>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</si>
  <si>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</si>
  <si>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</si>
  <si>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</si>
  <si>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</si>
  <si>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</si>
  <si>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</si>
  <si>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</si>
  <si>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</si>
  <si>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</si>
  <si>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</si>
  <si>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</si>
  <si>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</si>
  <si>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</si>
  <si>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</si>
  <si>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</si>
  <si>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</si>
  <si>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</si>
  <si>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</si>
  <si>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</si>
  <si>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</si>
  <si>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</si>
  <si>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</si>
  <si>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</si>
  <si>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</si>
  <si>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</si>
  <si>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</si>
  <si>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</si>
  <si>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</si>
  <si>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</si>
  <si>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</si>
  <si>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</si>
  <si>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</si>
  <si>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</si>
  <si>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</si>
  <si>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</si>
  <si>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</si>
  <si>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</si>
  <si>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</si>
  <si>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</si>
  <si>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</si>
  <si>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</si>
  <si>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</si>
  <si>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</si>
  <si>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</si>
  <si>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</si>
  <si>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</si>
  <si>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</si>
  <si>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</si>
  <si>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</si>
  <si>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</si>
  <si>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</si>
  <si>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</si>
  <si>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</si>
  <si>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</si>
  <si>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</si>
  <si>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</si>
  <si>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</si>
  <si>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</si>
  <si>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</si>
  <si>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</si>
  <si>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</si>
  <si>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</si>
  <si>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</si>
  <si>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</si>
  <si>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</si>
  <si>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</si>
  <si>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</si>
  <si>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</si>
  <si>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</si>
  <si>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</si>
  <si>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</si>
  <si>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</si>
  <si>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</si>
  <si>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</si>
  <si>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</si>
  <si>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</si>
  <si>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</si>
  <si>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</si>
  <si>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</si>
  <si>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</si>
  <si>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</si>
  <si>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</si>
  <si>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</si>
  <si>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</si>
  <si>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</si>
  <si>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</si>
  <si>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</si>
  <si>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</si>
  <si>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</si>
  <si>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</si>
  <si>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</si>
  <si>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</si>
  <si>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</si>
  <si>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</si>
  <si>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</si>
  <si>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</si>
  <si>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</si>
  <si>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</si>
  <si>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</si>
  <si>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</si>
  <si>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</si>
  <si>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</si>
  <si>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</si>
  <si>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</si>
  <si>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</si>
  <si>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</si>
  <si>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</si>
  <si>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</si>
  <si>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</si>
  <si>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</si>
  <si>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</si>
  <si>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</si>
  <si>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</si>
  <si>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</si>
  <si>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</si>
  <si>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</si>
  <si>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</si>
  <si>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</si>
  <si>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</si>
  <si>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</si>
  <si>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</si>
  <si>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</si>
  <si>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</si>
  <si>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</si>
  <si>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</si>
  <si>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</si>
  <si>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</si>
  <si>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</si>
  <si>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</si>
  <si>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</si>
  <si>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</si>
  <si>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</si>
  <si>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</si>
  <si>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</si>
  <si>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</si>
  <si>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</si>
  <si>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</si>
  <si>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</si>
  <si>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</si>
  <si>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</si>
  <si>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</si>
  <si>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</si>
  <si>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</si>
  <si>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</si>
  <si>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</si>
  <si>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</si>
  <si>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</si>
  <si>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</si>
  <si>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</si>
  <si>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</si>
  <si>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</si>
  <si>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</si>
  <si>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</si>
  <si>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</si>
  <si>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</si>
  <si>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CA2 (U/D)</t>
  </si>
  <si>
    <t>Mo/Th</t>
  </si>
  <si>
    <t>CA (U/D)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</si>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</sst>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164" fontId="2" fillId="4" borderId="0" xfId="0" applyNumberFormat="1" applyFont="1" applyFill="1" applyAlignment="1">
      <alignment horizontal="center" vertical="center" wrapText="1" readingOrder="1"/>
    </xf>
    <xf numFmtId="164" fontId="2" fillId="5" borderId="0" xfId="0" applyNumberFormat="1" applyFont="1" applyFill="1" applyAlignment="1">
      <alignment horizontal="center" vertical="center" wrapText="1" readingOrder="1"/>
    </xf>
    <xf numFmtId="164" fontId="5" fillId="5" borderId="0" xfId="0" applyNumberFormat="1" applyFont="1" applyFill="1" applyAlignment="1">
      <alignment horizontal="center" vertical="center" wrapText="1"/>
    </xf>
    <xf numFmtId="164" fontId="5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78"/>
  <sheetViews>
    <sheetView tabSelected="1" workbookViewId="0">
      <pane xSplit="2" ySplit="1" topLeftCell="E104" activePane="bottomRight" state="frozen"/>
      <selection pane="topRight" activeCell="C1" sqref="C1"/>
      <selection pane="bottomLeft" activeCell="A2" sqref="A2"/>
      <selection pane="bottomRight" activeCell="K120" sqref="K120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360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365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367</v>
      </c>
      <c r="G10" s="11" t="s">
        <v>222</v>
      </c>
      <c r="H10" s="11" t="s">
        <v>317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317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364</v>
      </c>
      <c r="G12" s="11" t="s">
        <v>231</v>
      </c>
      <c r="H12" s="11" t="s">
        <v>317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368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324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311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0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46">
        <v>-0.3</v>
      </c>
      <c r="AI17" s="45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381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-18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45">
        <v>0.1</v>
      </c>
      <c r="AH20" s="46">
        <v>-1</v>
      </c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-18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25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>
        <v>0.05</v>
      </c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25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8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0.2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0.2</v>
      </c>
      <c r="AL23" s="27">
        <f>IF(Table1[[#This Row],[Hours]]&gt;0,Table1[[#This Row],[Hours]],Table1[[#This Row],[Nominal Hours]])*COUNTIF(Table1[[#This Row],[Autumn Week 1]:[Spring Week 12]],"&gt;0")</f>
        <v>8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369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314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322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45">
        <v>0.2</v>
      </c>
      <c r="R29" s="46">
        <v>-0.2</v>
      </c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312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312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313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0</v>
      </c>
      <c r="K35" s="11">
        <v>6</v>
      </c>
      <c r="L35" s="18"/>
      <c r="M35" s="18"/>
      <c r="N35" s="18"/>
      <c r="O35" s="19"/>
      <c r="P35" s="45">
        <v>0.2</v>
      </c>
      <c r="Q35" s="46">
        <v>-0.2</v>
      </c>
      <c r="R35" s="19"/>
      <c r="S35" s="45">
        <v>0.2</v>
      </c>
      <c r="T35" s="46">
        <v>-0.2</v>
      </c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321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332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0.99999999999999989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45">
        <v>7.4999999999999997E-2</v>
      </c>
      <c r="T37" s="46">
        <v>-7.4999999999999997E-2</v>
      </c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0</v>
      </c>
      <c r="K38" s="11">
        <v>10</v>
      </c>
      <c r="L38" s="18"/>
      <c r="M38" s="18"/>
      <c r="N38" s="18"/>
      <c r="O38" s="19"/>
      <c r="P38" s="18"/>
      <c r="Q38" s="18"/>
      <c r="R38" s="45">
        <v>0.2</v>
      </c>
      <c r="S38" s="49">
        <v>-0.2</v>
      </c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331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320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367</v>
      </c>
      <c r="G42" s="11" t="s">
        <v>222</v>
      </c>
      <c r="H42" s="11" t="s">
        <v>312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312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312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/>
      <c r="P44" s="18">
        <v>0.1</v>
      </c>
      <c r="Q44" s="18"/>
      <c r="R44" s="18"/>
      <c r="S44" s="19">
        <v>0.1</v>
      </c>
      <c r="T44" s="18"/>
      <c r="U44" s="18"/>
      <c r="V44" s="18">
        <v>0.1</v>
      </c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312</v>
      </c>
      <c r="I45" s="11">
        <v>3</v>
      </c>
      <c r="J45" s="11">
        <f>AVERAGE(Table1[[#This Row],[Autumn Week 1]:[Spring Exams]])*4*Table1[[#This Row],[Credits]]</f>
        <v>0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48">
        <v>0.1</v>
      </c>
      <c r="AA45" s="46">
        <v>-0.1</v>
      </c>
      <c r="AB45" s="22"/>
      <c r="AC45" s="45">
        <v>0.1</v>
      </c>
      <c r="AD45" s="47">
        <v>-0.1</v>
      </c>
      <c r="AE45" s="20"/>
      <c r="AF45" s="48">
        <v>0.1</v>
      </c>
      <c r="AG45" s="46">
        <v>-0.1</v>
      </c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367</v>
      </c>
      <c r="G48" s="11" t="s">
        <v>222</v>
      </c>
      <c r="H48" s="11" t="s">
        <v>315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315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315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358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369</v>
      </c>
      <c r="G53" s="11" t="s">
        <v>231</v>
      </c>
      <c r="H53" s="11" t="s">
        <v>297</v>
      </c>
      <c r="I53" s="11">
        <v>1</v>
      </c>
      <c r="J53" s="11">
        <f>AVERAGE(Table1[[#This Row],[Autumn Week 1]:[Spring Exams]])*4*Table1[[#This Row],[Credits]]</f>
        <v>0.79999999999999982</v>
      </c>
      <c r="K53" s="11">
        <v>0.5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>
        <v>0.01</v>
      </c>
      <c r="Y53" s="20">
        <v>0.01</v>
      </c>
      <c r="Z53" s="20">
        <v>0.01</v>
      </c>
      <c r="AA53" s="20">
        <v>0.01</v>
      </c>
      <c r="AB53" s="20">
        <v>0.01</v>
      </c>
      <c r="AC53" s="20">
        <v>0.01</v>
      </c>
      <c r="AD53" s="20">
        <v>0.01</v>
      </c>
      <c r="AE53" s="20">
        <v>0.01</v>
      </c>
      <c r="AF53" s="20">
        <v>0.01</v>
      </c>
      <c r="AG53" s="20">
        <v>0.01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9.9999999999999992E-2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366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316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333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316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362</v>
      </c>
      <c r="G67" s="11" t="s">
        <v>222</v>
      </c>
      <c r="H67" s="11" t="s">
        <v>352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351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370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363</v>
      </c>
      <c r="G71" s="11" t="s">
        <v>222</v>
      </c>
      <c r="H71" s="11" t="s">
        <v>352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353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354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362</v>
      </c>
      <c r="G80" s="11" t="s">
        <v>222</v>
      </c>
      <c r="H80" s="11" t="s">
        <v>352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355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356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371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372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318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319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330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373</v>
      </c>
      <c r="G94" s="11" t="s">
        <v>222</v>
      </c>
      <c r="H94" s="11" t="s">
        <v>352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357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297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323</v>
      </c>
      <c r="G99" s="11" t="s">
        <v>231</v>
      </c>
      <c r="H99" s="11" t="s">
        <v>296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334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335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319</v>
      </c>
      <c r="G103" s="11" t="s">
        <v>231</v>
      </c>
      <c r="H103" s="11" t="s">
        <v>310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310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380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0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45">
        <v>0.4</v>
      </c>
      <c r="AI110" s="46">
        <v>-0.4</v>
      </c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358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0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45">
        <v>0.4</v>
      </c>
      <c r="AI112" s="46">
        <v>-0.4</v>
      </c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369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319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374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359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357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361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375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297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6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>
        <v>0.15</v>
      </c>
      <c r="AC128" s="20"/>
      <c r="AD128" s="20">
        <v>0.15</v>
      </c>
      <c r="AE128" s="20"/>
      <c r="AF128" s="20"/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372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376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377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372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>
        <v>0.01</v>
      </c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/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369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336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338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337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379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339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378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325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349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350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340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341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342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335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343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344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345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346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344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347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348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326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326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327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328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329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54" workbookViewId="0">
      <selection activeCell="T74" sqref="T7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26" style="5" bestFit="1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75</v>
      </c>
      <c r="V10">
        <f>100-Table2[[#This Row],[Exam Weight (%)]]</f>
        <v>25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-11.5</v>
      </c>
      <c r="D10">
        <f>INDEX(Table14[Total],MATCH(Sheet2!A10,Table14[Module Code],0))</f>
        <v>22</v>
      </c>
      <c r="E10">
        <f t="shared" si="0"/>
        <v>10.5</v>
      </c>
      <c r="F10">
        <f t="shared" si="1"/>
        <v>1.05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10</v>
      </c>
      <c r="D12">
        <f>INDEX(Table14[Total],MATCH(Sheet2!A12,Table14[Module Code],0))</f>
        <v>22</v>
      </c>
      <c r="E12">
        <f t="shared" si="0"/>
        <v>32</v>
      </c>
      <c r="F12">
        <f t="shared" si="1"/>
        <v>3.2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2025-11-07T13:14:54Z</dcterms:modified>
</cp:coreProperties>
</file>