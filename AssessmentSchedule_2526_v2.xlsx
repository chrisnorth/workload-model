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16" documentId="8_{10702854-9EE2-4D67-90CE-85FDD07A66EE}" xr6:coauthVersionLast="47" xr6:coauthVersionMax="47" xr10:uidLastSave="{49EEAAE0-471A-47C0-9AB3-B72E4BBA97EE}"/>
  <bookViews>
    <workbookView xWindow="-120" yWindow="-120" windowWidth="29040" windowHeight="1572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<sst xmlns="http://schemas.openxmlformats.org/spreadsheetml/2006/main" count="2886" uniqueCount="381">
  <si>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</si>
  <si>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</si>
  <si>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</si>
  <si>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</si>
  <si>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</si>
  <si>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</si>
  <si>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</si>
  <si>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</si>
  <si>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</si>
  <si>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</si>
  <si>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</si>
  <si>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</si>
  <si>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</si>
  <si>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</si>
  <si>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</si>
  <si>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</si>
  <si>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</si>
  <si>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</si>
  <si>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</si>
  <si>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</si>
  <si>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</si>
  <si>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</si>
  <si>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</si>
  <si>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</si>
  <si>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</si>
  <si>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</si>
  <si>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</si>
  <si>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</si>
  <si>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</si>
  <si>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</si>
  <si>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</si>
  <si>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</si>
  <si>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</si>
  <si>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</si>
  <si>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</si>
  <si>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</si>
  <si>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</si>
  <si>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</si>
  <si>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</si>
  <si>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</si>
  <si>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</si>
  <si>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</si>
  <si>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</si>
  <si>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</si>
  <si>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</si>
  <si>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</si>
  <si>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</si>
  <si>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</si>
  <si>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</si>
  <si>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</si>
  <si>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</si>
  <si>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</si>
  <si>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</si>
  <si>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</si>
  <si>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</si>
  <si>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</si>
  <si>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</si>
  <si>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</si>
  <si>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</si>
  <si>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</si>
  <si>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</si>
  <si>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</si>
  <si>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</si>
  <si>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</si>
  <si>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</si>
  <si>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</si>
  <si>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</si>
  <si>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</si>
  <si>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</si>
  <si>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</si>
  <si>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</si>
  <si>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</si>
  <si>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</si>
  <si>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</si>
  <si>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</si>
  <si>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</si>
  <si>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</si>
  <si>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</si>
  <si>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</si>
  <si>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</si>
  <si>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</si>
  <si>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</si>
  <si>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</si>
  <si>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</si>
  <si>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</si>
  <si>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</si>
  <si>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</si>
  <si>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</si>
  <si>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</si>
  <si>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</si>
  <si>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</si>
  <si>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</si>
  <si>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</si>
  <si>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</si>
  <si>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</si>
  <si>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</si>
  <si>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</si>
  <si>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</si>
  <si>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</si>
  <si>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</si>
  <si>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</si>
  <si>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</si>
  <si>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</si>
  <si>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</si>
  <si>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</si>
  <si>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</si>
  <si>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</si>
  <si>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</si>
  <si>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</si>
  <si>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</si>
  <si>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</si>
  <si>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</si>
  <si>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</si>
  <si>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</si>
  <si>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</si>
  <si>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</si>
  <si>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</si>
  <si>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</si>
  <si>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</si>
  <si>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</si>
  <si>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</si>
  <si>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</si>
  <si>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</si>
  <si>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</si>
  <si>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</si>
  <si>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</si>
  <si>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</si>
  <si>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</si>
  <si>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</si>
  <si>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</si>
  <si>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</si>
  <si>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</si>
  <si>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</si>
  <si>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</si>
  <si>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</si>
  <si>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</si>
  <si>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</si>
  <si>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</si>
  <si>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</si>
  <si>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</si>
  <si>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</si>
  <si>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</si>
  <si>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</si>
  <si>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</si>
  <si>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</si>
  <si>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</si>
  <si>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</si>
  <si>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</si>
  <si>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</si>
  <si>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</si>
  <si>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</si>
  <si>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</si>
  <si>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</si>
  <si>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</si>
  <si>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</si>
  <si>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</si>
  <si>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</si>
  <si>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</si>
  <si>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</si>
  <si>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</si>
  <si>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</si>
  <si>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</si>
  <si>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</si>
  <si>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</si>
  <si>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</si>
  <si>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</si>
  <si>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</si>
  <si>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</si>
  <si>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</si>
  <si>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</si>
  <si>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</si>
  <si>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</si>
  <si>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</si>
  <si>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</si>
  <si>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</si>
  <si>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</si>
  <si>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</si>
  <si>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</si>
  <si>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</si>
  <si>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</si>
  <si>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</si>
  <si>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</si>
  <si>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</si>
  <si>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</si>
  <si>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</si>
  <si>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</si>
  <si>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</si>
  <si>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</si>
  <si>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</si>
  <si>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</si>
  <si>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</si>
  <si>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</si>
  <si>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</si>
  <si>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</si>
  <si>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</si>
  <si>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</si>
  <si>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</si>
  <si>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</si>
  <si>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</si>
  <si>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</si>
  <si>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</si>
  <si>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</si>
  <si>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</si>
  <si>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</si>
  <si>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</si>
  <si>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</si>
  <si>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</si>
  <si>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</si>
  <si>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</si>
  <si>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</si>
  <si>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</si>
  <si>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</si>
  <si>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</si>
  <si>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</si>
  <si>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</si>
  <si>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</si>
  <si>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</si>
  <si>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</si>
  <si>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</si>
  <si>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</si>
  <si>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</si>
  <si>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</si>
  <si>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</si>
  <si>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</si>
  <si>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</si>
  <si>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</si>
  <si>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</si>
  <si>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</si>
  <si>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</si>
  <si>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</si>
  <si>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</si>
  <si>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</si>
  <si>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</si>
  <si>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</si>
  <si>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</si>
  <si>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</si>
  <si>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</si>
  <si>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</si>
  <si>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</si>
  <si>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</si>
  <si>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</si>
  <si>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</si>
  <si>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</si>
  <si>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</si>
  <si>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</si>
  <si>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</si>
  <si>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</si>
  <si>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</si>
  <si>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</si>
  <si>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</si>
  <si>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</si>
  <si>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</si>
  <si>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</si>
  <si>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</si>
  <si>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</si>
  <si>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</si>
  <si>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</si>
  <si>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</si>
  <si>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</si>
  <si>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</si>
  <si>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</si>
  <si>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</si>
  <si>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</si>
  <si>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</si>
  <si>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</si>
  <si>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</si>
  <si>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</si>
  <si>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</si>
  <si>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</si>
  <si>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</si>
  <si>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</si>
  <si>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</si>
  <si>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</si>
  <si>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</si>
  <si>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</si>
  <si>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</si>
  <si>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</si>
  <si>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</si>
  <si>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</si>
  <si>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</si>
  <si>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</si>
  <si>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</si>
  <si>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</si>
  <si>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</si>
  <si>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</si>
  <si>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</si>
  <si>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</si>
  <si>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</si>
  <si>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</si>
  <si>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</si>
  <si>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</si>
  <si>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</si>
  <si>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</si>
  <si>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</si>
  <si>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</si>
  <si>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</si>
  <si>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</si>
  <si>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</si>
  <si>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</si>
  <si>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</si>
  <si>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</si>
  <si>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</si>
  <si>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</si>
  <si>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</si>
  <si>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</si>
  <si>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</si>
  <si>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</si>
  <si>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</si>
  <si>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</si>
  <si>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</si>
  <si>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</si>
  <si>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Mo/Th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</si>
  <si>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</si>
  <si>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</si>
  <si>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</si>
  <si>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</si>
  <si>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</si>
  <si>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</si>
  <si>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</si>
  <si>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</si>
  <si>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</si>
  <si>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</si>
  <si>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</si>
  <si>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</si>
  <si>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</si>
  <si>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</si>
  <si>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</si>
  <si>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</si>
  <si>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</si>
  <si>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</si>
  <si>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</si>
  <si>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</si>
  <si>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</si>
  <si>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</si>
  <si>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</si>
  <si>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</si>
  <si>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</si>
  <si>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</si>
  <si>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</si>
  <si>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</si>
  <si>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</si>
  <si>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</si>
  <si>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</si>
  <si>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</si>
  <si>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</si>
  <si>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</si>
  <si>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</si>
  <si>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</si>
  <si>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</si>
  <si>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</si>
  <si>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</si>
  <si>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</si>
  <si>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</si>
  <si>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</si>
  <si>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</si>
  <si>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</si>
  <si>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</si>
  <si>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</si>
  <si>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</si>
  <si>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</si>
  <si>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</si>
  <si>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</si>
  <si>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</si>
  <si>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</si>
  <si>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</si>
  <si>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</si>
  <si>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</si>
  <si>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</si>
  <si>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</si>
  <si>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</si>
  <si>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</si>
  <si>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</si>
  <si>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</si>
  <si>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</si>
  <si>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</si>
  <si>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</si>
  <si>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</si>
  <si>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</si>
  <si>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</si>
  <si>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</si>
  <si>
    <t>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</si>
</sst>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sheetPr codeName="Sheet1"/>
  <dimension ref="A1:AL178"/>
  <sheetViews>
    <sheetView tabSelected="1" workbookViewId="0">
      <pane xSplit="2" ySplit="1" topLeftCell="Q32" activePane="bottomRight" state="frozen"/>
      <selection pane="topRight" activeCell="C1" sqref="C1"/>
      <selection pane="bottomLeft" activeCell="A2" sqref="A2"/>
      <selection pane="bottomRight" activeCell="AF55" sqref="AF55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10" style="10" bestFit="1" customWidth="1"/>
    <col min="4" max="5" width="10" style="10" customWidth="1"/>
    <col min="6" max="6" width="21.7109375" style="10" bestFit="1" customWidth="1"/>
    <col min="7" max="8" width="21.7109375" style="10" customWidth="1"/>
    <col min="9" max="9" width="10.7109375" style="10" bestFit="1" customWidth="1"/>
    <col min="10" max="11" width="10.7109375" style="10" customWidth="1"/>
    <col min="12" max="23" width="9.140625" style="14" customWidth="1"/>
    <col min="24" max="36" width="9.140625" style="16"/>
  </cols>
  <sheetData>
    <row r="1" spans="1:38" s="44" customFormat="1" ht="30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358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363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365</v>
      </c>
      <c r="G10" s="11" t="s">
        <v>222</v>
      </c>
      <c r="H10" s="11" t="s">
        <v>315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315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362</v>
      </c>
      <c r="G12" s="11" t="s">
        <v>231</v>
      </c>
      <c r="H12" s="11" t="s">
        <v>315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366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322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380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12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379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4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20">
        <v>0.1</v>
      </c>
      <c r="AH20" s="20"/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4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>
        <v>0.05</v>
      </c>
      <c r="AD22" s="20"/>
      <c r="AE22" s="20"/>
      <c r="AF22" s="20"/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20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6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0.15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0.15</v>
      </c>
      <c r="AL23" s="27">
        <f>IF(Table1[[#This Row],[Hours]]&gt;0,Table1[[#This Row],[Hours]],Table1[[#This Row],[Nominal Hours]])*COUNTIF(Table1[[#This Row],[Autumn Week 1]:[Spring Week 12]],"&gt;0")</f>
        <v>6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367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312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320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/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311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311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209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8</v>
      </c>
      <c r="K35" s="11">
        <v>6</v>
      </c>
      <c r="L35" s="18"/>
      <c r="M35" s="18"/>
      <c r="N35" s="18"/>
      <c r="O35" s="19">
        <v>0.2</v>
      </c>
      <c r="P35" s="18"/>
      <c r="Q35" s="18"/>
      <c r="R35" s="19">
        <v>0.2</v>
      </c>
      <c r="S35" s="18"/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319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330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3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18">
        <v>7.4999999999999997E-2</v>
      </c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8</v>
      </c>
      <c r="K38" s="11">
        <v>10</v>
      </c>
      <c r="L38" s="18"/>
      <c r="M38" s="18"/>
      <c r="N38" s="18"/>
      <c r="O38" s="19"/>
      <c r="P38" s="18"/>
      <c r="Q38" s="18"/>
      <c r="R38" s="18">
        <v>0.2</v>
      </c>
      <c r="S38" s="19"/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329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318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365</v>
      </c>
      <c r="G42" s="11" t="s">
        <v>222</v>
      </c>
      <c r="H42" s="11" t="s">
        <v>311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311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311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311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365</v>
      </c>
      <c r="G48" s="11" t="s">
        <v>222</v>
      </c>
      <c r="H48" s="11" t="s">
        <v>313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313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313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356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367</v>
      </c>
      <c r="G53" s="11" t="s">
        <v>231</v>
      </c>
      <c r="H53" s="11" t="s">
        <v>297</v>
      </c>
      <c r="I53" s="11">
        <v>2</v>
      </c>
      <c r="J53" s="11">
        <f>AVERAGE(Table1[[#This Row],[Autumn Week 1]:[Spring Exams]])*4*Table1[[#This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/>
      <c r="AG55" s="20">
        <v>0.1</v>
      </c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364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314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331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314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360</v>
      </c>
      <c r="G67" s="11" t="s">
        <v>222</v>
      </c>
      <c r="H67" s="11" t="s">
        <v>350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349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368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361</v>
      </c>
      <c r="G71" s="11" t="s">
        <v>222</v>
      </c>
      <c r="H71" s="11" t="s">
        <v>350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351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352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360</v>
      </c>
      <c r="G80" s="11" t="s">
        <v>222</v>
      </c>
      <c r="H80" s="11" t="s">
        <v>350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353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354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369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370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316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317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328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 ht="28.5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 ht="28.5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371</v>
      </c>
      <c r="G94" s="11" t="s">
        <v>222</v>
      </c>
      <c r="H94" s="11" t="s">
        <v>297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355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303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321</v>
      </c>
      <c r="G99" s="11" t="s">
        <v>231</v>
      </c>
      <c r="H99" s="11" t="s">
        <v>303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332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333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317</v>
      </c>
      <c r="G103" s="11" t="s">
        <v>231</v>
      </c>
      <c r="H103" s="11" t="s">
        <v>297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303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378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356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367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317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372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357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355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359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373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296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12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>
        <v>0.3</v>
      </c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370</v>
      </c>
      <c r="G129" s="11" t="s">
        <v>231</v>
      </c>
      <c r="H129" s="11" t="s">
        <v>296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374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375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370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>
        <v>0.01</v>
      </c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367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334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336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335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377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337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376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323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347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348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338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339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340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333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341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342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343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344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342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345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346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324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324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325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326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327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sheetPr codeName="Sheet2"/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10" style="10" bestFit="1" customWidth="1"/>
    <col min="4" max="5" width="10" style="10" customWidth="1"/>
    <col min="6" max="6" width="10.7109375" style="10" customWidth="1"/>
    <col min="7" max="15" width="16.28515625" style="14" bestFit="1" customWidth="1"/>
    <col min="16" max="18" width="17.28515625" style="14" bestFit="1" customWidth="1"/>
    <col min="19" max="30" width="8.710937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 ht="28.5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sheetPr codeName="Sheet3"/>
  <dimension ref="A1:W129"/>
  <sheetViews>
    <sheetView workbookViewId="0">
      <selection activeCell="U11" sqref="U11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26" style="5" bestFit="1" customWidth="1"/>
    <col min="4" max="4" width="7.85546875" style="5" customWidth="1"/>
    <col min="5" max="5" width="10.7109375" style="5" bestFit="1" customWidth="1"/>
    <col min="6" max="6" width="7.285156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 ht="28.5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sheetPr codeName="Sheet4"/>
  <dimension ref="A3:F70"/>
  <sheetViews>
    <sheetView workbookViewId="0">
      <selection activeCell="E20" sqref="E20"/>
    </sheetView>
  </sheetViews>
  <sheetFormatPr defaultRowHeight="15"/>
  <cols>
    <col min="1" max="1" width="12.42578125" bestFit="1" customWidth="1"/>
    <col min="2" max="2" width="9.140625" bestFit="1" customWidth="1"/>
    <col min="3" max="4" width="19.570312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2026-01-22T16:09:26Z</dcterms:modified>
</cp:coreProperties>
</file>