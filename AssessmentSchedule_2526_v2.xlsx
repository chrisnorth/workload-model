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01" documentId="8_{10702854-9EE2-4D67-90CE-85FDD07A66EE}" xr6:coauthVersionLast="47" xr6:coauthVersionMax="47" xr10:uidLastSave="{61AC6022-B2DB-4B86-A5F8-C208B226DB98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<sst xmlns="http://schemas.openxmlformats.org/spreadsheetml/2006/main" count="2886" uniqueCount="381">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</sst>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25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>
        <v>0.05</v>
      </c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25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8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0.2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0.2</v>
      </c>
      <c r="AL23" s="27">
        <f>IF(Table1[[#This Row],[Hours]]&gt;0,Table1[[#This Row],[Hours]],Table1[[#This Row],[Nominal Hours]])*COUNTIF(Table1[[#This Row],[Autumn Week 1]:[Spring Week 12]],"&gt;0")</f>
        <v>8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4.4800000000000004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0.28000000000000003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296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296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310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310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295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>
        <v>0.01</v>
      </c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/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topLeftCell="A54" workbookViewId="0">
      <selection activeCell="T74" sqref="T7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26" style="5" bestFit="1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75</v>
      </c>
      <c r="V10">
        <f>100-Table2[[#This Row],[Exam Weight (%)]]</f>
        <v>25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48.000000000000007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10</v>
      </c>
      <c r="D12">
        <f>INDEX(Table14[Total],MATCH(Sheet2!A12,Table14[Module Code],0))</f>
        <v>22</v>
      </c>
      <c r="E12">
        <f t="shared" si="0"/>
        <v>32</v>
      </c>
      <c r="F12">
        <f t="shared" si="1"/>
        <v>3.2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2026-01-13T14:19:25Z</dcterms:modified>
</cp:coreProperties>
</file>