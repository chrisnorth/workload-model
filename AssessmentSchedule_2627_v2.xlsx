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95" documentId="8_{0C641013-E594-4AA6-B777-C2C249EA34A6}" xr6:coauthVersionLast="47" xr6:coauthVersionMax="47" xr10:uidLastSave="{6AB7E3BF-C342-4904-A918-4D5E3796F640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5" i="1" l="1"/>
  <c r="T75" i="1"/>
  <c r="S75" i="1"/>
  <c r="R75" i="1"/>
  <c r="Q75" i="1"/>
  <c r="P75" i="1"/>
  <c r="O75" i="1"/>
  <c r="N75" i="1"/>
  <c r="M75" i="1"/>
  <c r="AK76" i="1"/>
  <c r="E76" i="1"/>
  <c r="J76" i="1" s="1"/>
  <c r="AL76" i="1" s="1"/>
  <c r="D76" i="1"/>
  <c r="AK94" i="1"/>
  <c r="E94" i="1"/>
  <c r="J94" i="1" s="1"/>
  <c r="AL94" i="1" s="1"/>
  <c r="E55" i="1"/>
  <c r="J55" i="1" s="1"/>
  <c r="D55" i="1"/>
  <c r="AL55" i="1"/>
  <c r="AK55" i="1"/>
  <c r="E108" i="1"/>
  <c r="J108" i="1" s="1"/>
  <c r="AK108" i="1"/>
  <c r="AL108" i="1"/>
  <c r="AL33" i="1"/>
  <c r="AK33" i="1"/>
  <c r="E33" i="1"/>
  <c r="J33" i="1" s="1"/>
  <c r="R27" i="1"/>
  <c r="P27" i="1"/>
  <c r="N27" i="1"/>
  <c r="AK27" i="1"/>
  <c r="E27" i="1"/>
  <c r="J27" i="1" s="1"/>
  <c r="AL27" i="1" s="1"/>
  <c r="D27" i="1"/>
  <c r="AK122" i="1"/>
  <c r="E122" i="1"/>
  <c r="D122" i="1"/>
  <c r="J122" i="1" l="1"/>
  <c r="AL122" i="1" s="1"/>
  <c r="AK79" i="1"/>
  <c r="E79" i="1"/>
  <c r="J79" i="1" s="1"/>
  <c r="AL79" i="1" s="1"/>
  <c r="D79" i="1"/>
  <c r="AK88" i="1"/>
  <c r="E88" i="1"/>
  <c r="J88" i="1" s="1"/>
  <c r="AL88" i="1" s="1"/>
  <c r="D88" i="1"/>
  <c r="E152" i="1"/>
  <c r="J152" i="1" s="1"/>
  <c r="AL152" i="1" s="1"/>
  <c r="D152" i="1"/>
  <c r="AK152" i="1"/>
  <c r="E56" i="1"/>
  <c r="J56" i="1" s="1"/>
  <c r="D56" i="1"/>
  <c r="E54" i="1"/>
  <c r="J54" i="1" s="1"/>
  <c r="D54" i="1"/>
  <c r="E53" i="1"/>
  <c r="J53" i="1" s="1"/>
  <c r="D53" i="1"/>
  <c r="E39" i="1"/>
  <c r="J39" i="1" s="1"/>
  <c r="D39" i="1"/>
  <c r="E31" i="1"/>
  <c r="J31" i="1" s="1"/>
  <c r="D31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82" i="1"/>
  <c r="J82" i="1" s="1"/>
  <c r="D82" i="1"/>
  <c r="AK82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8" i="1"/>
  <c r="AK29" i="1"/>
  <c r="AK30" i="1"/>
  <c r="AK31" i="1"/>
  <c r="AK32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7" i="1"/>
  <c r="AK78" i="1"/>
  <c r="AK80" i="1"/>
  <c r="AK81" i="1"/>
  <c r="AK83" i="1"/>
  <c r="AK84" i="1"/>
  <c r="AK85" i="1"/>
  <c r="AK86" i="1"/>
  <c r="AK87" i="1"/>
  <c r="AK89" i="1"/>
  <c r="AK90" i="1"/>
  <c r="AK91" i="1"/>
  <c r="AK92" i="1"/>
  <c r="AK93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9" i="1"/>
  <c r="AK110" i="1"/>
  <c r="AK111" i="1"/>
  <c r="AK112" i="1"/>
  <c r="AK113" i="1"/>
  <c r="AK114" i="1"/>
  <c r="AK116" i="1"/>
  <c r="AK117" i="1"/>
  <c r="AK118" i="1"/>
  <c r="AK119" i="1"/>
  <c r="AK120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6" i="1"/>
  <c r="AK147" i="1"/>
  <c r="AK148" i="1"/>
  <c r="AK149" i="1"/>
  <c r="AK150" i="1"/>
  <c r="AK151" i="1"/>
  <c r="AK153" i="1"/>
  <c r="AK154" i="1"/>
  <c r="AK155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W100" i="2" s="1"/>
  <c r="W96" i="2" l="1"/>
  <c r="AL82" i="1"/>
  <c r="W98" i="2"/>
  <c r="W99" i="2"/>
  <c r="W74" i="2"/>
  <c r="V39" i="2" l="1"/>
  <c r="D106" i="1" s="1"/>
  <c r="D181" i="1"/>
  <c r="D182" i="1"/>
  <c r="D183" i="1"/>
  <c r="D184" i="1"/>
  <c r="D185" i="1"/>
  <c r="D186" i="1"/>
  <c r="D187" i="1"/>
  <c r="D188" i="1"/>
  <c r="E128" i="1"/>
  <c r="J128" i="1" s="1"/>
  <c r="E129" i="1"/>
  <c r="J129" i="1" s="1"/>
  <c r="E130" i="1"/>
  <c r="J130" i="1" s="1"/>
  <c r="E131" i="1"/>
  <c r="J131" i="1" s="1"/>
  <c r="E132" i="1"/>
  <c r="J132" i="1" s="1"/>
  <c r="E133" i="1"/>
  <c r="J133" i="1" s="1"/>
  <c r="E134" i="1"/>
  <c r="J134" i="1" s="1"/>
  <c r="E135" i="1"/>
  <c r="J135" i="1" s="1"/>
  <c r="E136" i="1"/>
  <c r="J136" i="1" s="1"/>
  <c r="E120" i="1"/>
  <c r="J120" i="1" s="1"/>
  <c r="E119" i="1"/>
  <c r="J119" i="1" s="1"/>
  <c r="E106" i="1"/>
  <c r="J106" i="1" s="1"/>
  <c r="E105" i="1"/>
  <c r="J105" i="1" s="1"/>
  <c r="E100" i="1"/>
  <c r="J100" i="1" s="1"/>
  <c r="V94" i="2"/>
  <c r="D174" i="1" s="1"/>
  <c r="AL39" i="1"/>
  <c r="L115" i="1"/>
  <c r="W39" i="2"/>
  <c r="AL31" i="1"/>
  <c r="AL19" i="1"/>
  <c r="AL15" i="1"/>
  <c r="AL12" i="1"/>
  <c r="AL5" i="1"/>
  <c r="AL53" i="1"/>
  <c r="AL54" i="1"/>
  <c r="AL56" i="1"/>
  <c r="E188" i="1"/>
  <c r="J188" i="1" s="1"/>
  <c r="E187" i="1"/>
  <c r="J187" i="1" s="1"/>
  <c r="E186" i="1"/>
  <c r="J186" i="1" s="1"/>
  <c r="E185" i="1"/>
  <c r="J185" i="1" s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D176" i="1"/>
  <c r="E175" i="1"/>
  <c r="J175" i="1" s="1"/>
  <c r="D175" i="1"/>
  <c r="E174" i="1"/>
  <c r="J174" i="1" s="1"/>
  <c r="E173" i="1"/>
  <c r="J173" i="1" s="1"/>
  <c r="E172" i="1"/>
  <c r="J172" i="1" s="1"/>
  <c r="D172" i="1"/>
  <c r="E171" i="1"/>
  <c r="J171" i="1" s="1"/>
  <c r="D171" i="1"/>
  <c r="E170" i="1"/>
  <c r="J170" i="1" s="1"/>
  <c r="E169" i="1"/>
  <c r="J169" i="1" s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E155" i="1"/>
  <c r="J155" i="1" s="1"/>
  <c r="E154" i="1"/>
  <c r="J154" i="1" s="1"/>
  <c r="E153" i="1"/>
  <c r="J153" i="1" s="1"/>
  <c r="E151" i="1"/>
  <c r="J151" i="1" s="1"/>
  <c r="E150" i="1"/>
  <c r="J150" i="1" s="1"/>
  <c r="E149" i="1"/>
  <c r="J149" i="1" s="1"/>
  <c r="E148" i="1"/>
  <c r="J148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27" i="1"/>
  <c r="J127" i="1" s="1"/>
  <c r="E126" i="1"/>
  <c r="J126" i="1" s="1"/>
  <c r="E125" i="1"/>
  <c r="J125" i="1" s="1"/>
  <c r="E124" i="1"/>
  <c r="J124" i="1" s="1"/>
  <c r="E123" i="1"/>
  <c r="J123" i="1" s="1"/>
  <c r="E121" i="1"/>
  <c r="J121" i="1" s="1"/>
  <c r="E118" i="1"/>
  <c r="J118" i="1" s="1"/>
  <c r="E117" i="1"/>
  <c r="J117" i="1" s="1"/>
  <c r="E116" i="1"/>
  <c r="J116" i="1" s="1"/>
  <c r="E115" i="1"/>
  <c r="E114" i="1"/>
  <c r="J114" i="1" s="1"/>
  <c r="E113" i="1"/>
  <c r="J113" i="1" s="1"/>
  <c r="E112" i="1"/>
  <c r="J112" i="1" s="1"/>
  <c r="E111" i="1"/>
  <c r="J111" i="1" s="1"/>
  <c r="E110" i="1"/>
  <c r="J110" i="1" s="1"/>
  <c r="E109" i="1"/>
  <c r="J109" i="1" s="1"/>
  <c r="E107" i="1"/>
  <c r="J107" i="1" s="1"/>
  <c r="E104" i="1"/>
  <c r="J104" i="1" s="1"/>
  <c r="E103" i="1"/>
  <c r="J103" i="1" s="1"/>
  <c r="E102" i="1"/>
  <c r="J102" i="1" s="1"/>
  <c r="E101" i="1"/>
  <c r="J101" i="1" s="1"/>
  <c r="E99" i="1"/>
  <c r="J99" i="1" s="1"/>
  <c r="E98" i="1"/>
  <c r="J98" i="1" s="1"/>
  <c r="E97" i="1"/>
  <c r="J97" i="1" s="1"/>
  <c r="E96" i="1"/>
  <c r="J96" i="1" s="1"/>
  <c r="E95" i="1"/>
  <c r="J95" i="1" s="1"/>
  <c r="E93" i="1"/>
  <c r="J93" i="1" s="1"/>
  <c r="E92" i="1"/>
  <c r="J92" i="1" s="1"/>
  <c r="E91" i="1"/>
  <c r="J91" i="1" s="1"/>
  <c r="E90" i="1"/>
  <c r="J90" i="1" s="1"/>
  <c r="E89" i="1"/>
  <c r="J89" i="1" s="1"/>
  <c r="E87" i="1"/>
  <c r="J87" i="1" s="1"/>
  <c r="E86" i="1"/>
  <c r="J86" i="1" s="1"/>
  <c r="E85" i="1"/>
  <c r="J85" i="1" s="1"/>
  <c r="E84" i="1"/>
  <c r="J84" i="1" s="1"/>
  <c r="E83" i="1"/>
  <c r="J83" i="1" s="1"/>
  <c r="E81" i="1"/>
  <c r="J81" i="1" s="1"/>
  <c r="E80" i="1"/>
  <c r="J80" i="1" s="1"/>
  <c r="E78" i="1"/>
  <c r="J78" i="1" s="1"/>
  <c r="E77" i="1"/>
  <c r="J77" i="1" s="1"/>
  <c r="E75" i="1"/>
  <c r="E74" i="1"/>
  <c r="J74" i="1" s="1"/>
  <c r="E73" i="1"/>
  <c r="J73" i="1" s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2" i="1"/>
  <c r="J52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0" i="1"/>
  <c r="J40" i="1" s="1"/>
  <c r="E38" i="1"/>
  <c r="J38" i="1" s="1"/>
  <c r="E37" i="1"/>
  <c r="J37" i="1" s="1"/>
  <c r="E36" i="1"/>
  <c r="J36" i="1" s="1"/>
  <c r="E35" i="1"/>
  <c r="J35" i="1" s="1"/>
  <c r="E34" i="1"/>
  <c r="J34" i="1" s="1"/>
  <c r="E32" i="1"/>
  <c r="J32" i="1" s="1"/>
  <c r="E30" i="1"/>
  <c r="J30" i="1" s="1"/>
  <c r="E29" i="1"/>
  <c r="J29" i="1" s="1"/>
  <c r="E44" i="1"/>
  <c r="J44" i="1" s="1"/>
  <c r="E43" i="1"/>
  <c r="J43" i="1" s="1"/>
  <c r="E42" i="1"/>
  <c r="J42" i="1" s="1"/>
  <c r="E41" i="1"/>
  <c r="J41" i="1" s="1"/>
  <c r="E28" i="1"/>
  <c r="J28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W94" i="2"/>
  <c r="L156" i="1"/>
  <c r="AL160" i="1"/>
  <c r="AL162" i="1"/>
  <c r="J156" i="1" l="1"/>
  <c r="J115" i="1"/>
  <c r="J75" i="1"/>
  <c r="AL185" i="1"/>
  <c r="AL178" i="1"/>
  <c r="AL173" i="1"/>
  <c r="AL179" i="1"/>
  <c r="AL187" i="1"/>
  <c r="AL105" i="1"/>
  <c r="AL177" i="1"/>
  <c r="AL172" i="1"/>
  <c r="AL186" i="1"/>
  <c r="AL100" i="1"/>
  <c r="AL168" i="1"/>
  <c r="AL174" i="1"/>
  <c r="AL180" i="1"/>
  <c r="AL188" i="1"/>
  <c r="AL106" i="1"/>
  <c r="AL170" i="1"/>
  <c r="AL175" i="1"/>
  <c r="AL182" i="1"/>
  <c r="AK115" i="1"/>
  <c r="AL120" i="1"/>
  <c r="AL161" i="1"/>
  <c r="AL169" i="1"/>
  <c r="AL181" i="1"/>
  <c r="AL119" i="1"/>
  <c r="AL130" i="1"/>
  <c r="AK156" i="1"/>
  <c r="AL163" i="1"/>
  <c r="AL183" i="1"/>
  <c r="AL128" i="1"/>
  <c r="AL171" i="1"/>
  <c r="AL176" i="1"/>
  <c r="AL184" i="1"/>
  <c r="AK75" i="1"/>
  <c r="D173" i="1"/>
  <c r="D105" i="1"/>
  <c r="AL102" i="1"/>
  <c r="AL93" i="1"/>
  <c r="AL87" i="1"/>
  <c r="AL78" i="1"/>
  <c r="AL73" i="1"/>
  <c r="AL154" i="1" l="1"/>
  <c r="AL155" i="1"/>
  <c r="AL151" i="1"/>
  <c r="AL143" i="1"/>
  <c r="AL141" i="1"/>
  <c r="AL44" i="1"/>
  <c r="AL148" i="1" l="1"/>
  <c r="AL61" i="1"/>
  <c r="AL9" i="1" l="1"/>
  <c r="AK121" i="1" l="1"/>
  <c r="AL123" i="1"/>
  <c r="AL21" i="1" l="1"/>
  <c r="AL2" i="1"/>
  <c r="AL167" i="1"/>
  <c r="AK7" i="1" l="1"/>
  <c r="AK6" i="1"/>
  <c r="D62" i="3"/>
  <c r="E62" i="3"/>
  <c r="F62" i="3"/>
  <c r="AE62" i="3"/>
  <c r="AL166" i="1"/>
  <c r="AL165" i="1"/>
  <c r="AL164" i="1"/>
  <c r="W11" i="2"/>
  <c r="W91" i="2"/>
  <c r="W93" i="2"/>
  <c r="AL146" i="1"/>
  <c r="V93" i="2"/>
  <c r="D167" i="1" s="1"/>
  <c r="V92" i="2"/>
  <c r="V91" i="2"/>
  <c r="T90" i="2"/>
  <c r="V90" i="2"/>
  <c r="V61" i="2"/>
  <c r="AK145" i="1" l="1"/>
  <c r="D166" i="1"/>
  <c r="D165" i="1"/>
  <c r="D164" i="1"/>
  <c r="D146" i="1"/>
  <c r="D145" i="1"/>
  <c r="D170" i="1"/>
  <c r="D169" i="1"/>
  <c r="D168" i="1"/>
  <c r="W92" i="2"/>
  <c r="AL145" i="1"/>
  <c r="F70" i="4"/>
  <c r="C70" i="4"/>
  <c r="AL6" i="1"/>
  <c r="AL7" i="1"/>
  <c r="AL16" i="1"/>
  <c r="AL17" i="1"/>
  <c r="AL23" i="1"/>
  <c r="AL28" i="1"/>
  <c r="AL42" i="1"/>
  <c r="AL29" i="1"/>
  <c r="AL30" i="1"/>
  <c r="AL32" i="1"/>
  <c r="AL35" i="1"/>
  <c r="AL36" i="1"/>
  <c r="AL37" i="1"/>
  <c r="AL38" i="1"/>
  <c r="AL46" i="1"/>
  <c r="AL47" i="1"/>
  <c r="AL48" i="1"/>
  <c r="AL49" i="1"/>
  <c r="AL51" i="1"/>
  <c r="AL57" i="1"/>
  <c r="AL58" i="1"/>
  <c r="AL66" i="1"/>
  <c r="AL70" i="1"/>
  <c r="AL80" i="1"/>
  <c r="AL84" i="1"/>
  <c r="AL85" i="1"/>
  <c r="AL86" i="1"/>
  <c r="AL89" i="1"/>
  <c r="AL90" i="1"/>
  <c r="AL92" i="1"/>
  <c r="C36" i="4" s="1"/>
  <c r="AL101" i="1"/>
  <c r="AL107" i="1"/>
  <c r="AL109" i="1"/>
  <c r="AL110" i="1"/>
  <c r="AL111" i="1"/>
  <c r="AL114" i="1"/>
  <c r="C47" i="4" s="1"/>
  <c r="AL126" i="1"/>
  <c r="AL132" i="1"/>
  <c r="AL133" i="1"/>
  <c r="AL137" i="1"/>
  <c r="AL139" i="1"/>
  <c r="AL140" i="1"/>
  <c r="C60" i="4" s="1"/>
  <c r="AL149" i="1"/>
  <c r="C63" i="4" s="1"/>
  <c r="AL158" i="1"/>
  <c r="AL159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6" i="1"/>
  <c r="C34" i="4"/>
  <c r="E34" i="4" s="1"/>
  <c r="F34" i="4" s="1"/>
  <c r="C16" i="4"/>
  <c r="E16" i="4" s="1"/>
  <c r="F16" i="4" s="1"/>
  <c r="C42" i="4"/>
  <c r="E42" i="4" s="1"/>
  <c r="F42" i="4" s="1"/>
  <c r="AL115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3" i="1"/>
  <c r="AL40" i="1"/>
  <c r="C19" i="4" s="1"/>
  <c r="E19" i="4" s="1"/>
  <c r="F19" i="4" s="1"/>
  <c r="AL50" i="1"/>
  <c r="AL52" i="1"/>
  <c r="AL59" i="1"/>
  <c r="C23" i="4" s="1"/>
  <c r="E23" i="4" s="1"/>
  <c r="F23" i="4" s="1"/>
  <c r="AL60" i="1"/>
  <c r="C24" i="4" s="1"/>
  <c r="E24" i="4" s="1"/>
  <c r="F24" i="4" s="1"/>
  <c r="AL62" i="1"/>
  <c r="AL63" i="1"/>
  <c r="AL65" i="1"/>
  <c r="AL67" i="1"/>
  <c r="AL69" i="1"/>
  <c r="AL71" i="1"/>
  <c r="AL74" i="1"/>
  <c r="AL81" i="1"/>
  <c r="C31" i="4" s="1"/>
  <c r="E31" i="4" s="1"/>
  <c r="F31" i="4" s="1"/>
  <c r="AL83" i="1"/>
  <c r="C33" i="4" s="1"/>
  <c r="E33" i="4" s="1"/>
  <c r="F33" i="4" s="1"/>
  <c r="AL91" i="1"/>
  <c r="C35" i="4" s="1"/>
  <c r="E35" i="4" s="1"/>
  <c r="F35" i="4" s="1"/>
  <c r="AL95" i="1"/>
  <c r="AL96" i="1"/>
  <c r="AL97" i="1"/>
  <c r="AL98" i="1"/>
  <c r="AL99" i="1"/>
  <c r="C38" i="4" s="1"/>
  <c r="E38" i="4" s="1"/>
  <c r="F38" i="4" s="1"/>
  <c r="AL103" i="1"/>
  <c r="C39" i="4" s="1"/>
  <c r="E39" i="4" s="1"/>
  <c r="F39" i="4" s="1"/>
  <c r="AL104" i="1"/>
  <c r="C40" i="4" s="1"/>
  <c r="E40" i="4" s="1"/>
  <c r="F40" i="4" s="1"/>
  <c r="C41" i="4"/>
  <c r="E41" i="4" s="1"/>
  <c r="F41" i="4" s="1"/>
  <c r="AL112" i="1"/>
  <c r="C45" i="4" s="1"/>
  <c r="E45" i="4" s="1"/>
  <c r="F45" i="4" s="1"/>
  <c r="AL113" i="1"/>
  <c r="C46" i="4" s="1"/>
  <c r="E46" i="4" s="1"/>
  <c r="F46" i="4" s="1"/>
  <c r="AL116" i="1"/>
  <c r="AL117" i="1"/>
  <c r="AL118" i="1"/>
  <c r="AL121" i="1"/>
  <c r="AL124" i="1"/>
  <c r="AL125" i="1"/>
  <c r="C52" i="4"/>
  <c r="E52" i="4" s="1"/>
  <c r="F52" i="4" s="1"/>
  <c r="C53" i="4"/>
  <c r="E53" i="4" s="1"/>
  <c r="F53" i="4" s="1"/>
  <c r="AL127" i="1"/>
  <c r="C54" i="4" s="1"/>
  <c r="E54" i="4" s="1"/>
  <c r="F54" i="4" s="1"/>
  <c r="AL131" i="1"/>
  <c r="AL134" i="1"/>
  <c r="C56" i="4" s="1"/>
  <c r="E56" i="4" s="1"/>
  <c r="F56" i="4" s="1"/>
  <c r="AL135" i="1"/>
  <c r="C57" i="4" s="1"/>
  <c r="E57" i="4" s="1"/>
  <c r="F57" i="4" s="1"/>
  <c r="AL136" i="1"/>
  <c r="C58" i="4" s="1"/>
  <c r="E58" i="4" s="1"/>
  <c r="F58" i="4" s="1"/>
  <c r="AL138" i="1"/>
  <c r="C59" i="4" s="1"/>
  <c r="E59" i="4" s="1"/>
  <c r="F59" i="4" s="1"/>
  <c r="AL142" i="1"/>
  <c r="AL144" i="1"/>
  <c r="AL147" i="1"/>
  <c r="C62" i="4" s="1"/>
  <c r="E62" i="4" s="1"/>
  <c r="F62" i="4" s="1"/>
  <c r="AL150" i="1"/>
  <c r="C64" i="4" s="1"/>
  <c r="E64" i="4" s="1"/>
  <c r="F64" i="4" s="1"/>
  <c r="AL153" i="1"/>
  <c r="C65" i="4" s="1"/>
  <c r="E65" i="4" s="1"/>
  <c r="F65" i="4" s="1"/>
  <c r="AL157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80" i="1" l="1"/>
  <c r="D178" i="1"/>
  <c r="D179" i="1"/>
  <c r="D177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5" i="1"/>
  <c r="C20" i="4" s="1"/>
  <c r="E20" i="4" s="1"/>
  <c r="F20" i="4" s="1"/>
  <c r="AL10" i="1"/>
  <c r="C66" i="4"/>
  <c r="E66" i="4" s="1"/>
  <c r="F66" i="4" s="1"/>
  <c r="AL34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V17" i="2"/>
  <c r="V18" i="2"/>
  <c r="V19" i="2"/>
  <c r="V20" i="2"/>
  <c r="V21" i="2"/>
  <c r="V22" i="2"/>
  <c r="D59" i="1" s="1"/>
  <c r="V23" i="2"/>
  <c r="V24" i="2"/>
  <c r="V25" i="2"/>
  <c r="V26" i="2"/>
  <c r="V27" i="2"/>
  <c r="V28" i="2"/>
  <c r="D75" i="1" s="1"/>
  <c r="V29" i="2"/>
  <c r="V30" i="2"/>
  <c r="D81" i="1" s="1"/>
  <c r="V31" i="2"/>
  <c r="V32" i="2"/>
  <c r="V33" i="2"/>
  <c r="V34" i="2"/>
  <c r="D94" i="1" s="1"/>
  <c r="V35" i="2"/>
  <c r="V36" i="2"/>
  <c r="V37" i="2"/>
  <c r="V38" i="2"/>
  <c r="D104" i="1" s="1"/>
  <c r="V40" i="2"/>
  <c r="D108" i="1" s="1"/>
  <c r="V41" i="2"/>
  <c r="V42" i="2"/>
  <c r="D112" i="1" s="1"/>
  <c r="V43" i="2"/>
  <c r="D113" i="1" s="1"/>
  <c r="V44" i="2"/>
  <c r="D114" i="1" s="1"/>
  <c r="V45" i="2"/>
  <c r="V46" i="2"/>
  <c r="V47" i="2"/>
  <c r="V48" i="2"/>
  <c r="D126" i="1" s="1"/>
  <c r="V49" i="2"/>
  <c r="V50" i="2"/>
  <c r="V51" i="2"/>
  <c r="V52" i="2"/>
  <c r="D135" i="1" s="1"/>
  <c r="V53" i="2"/>
  <c r="D136" i="1" s="1"/>
  <c r="V54" i="2"/>
  <c r="V55" i="2"/>
  <c r="V56" i="2"/>
  <c r="V57" i="2"/>
  <c r="V58" i="2"/>
  <c r="D149" i="1" s="1"/>
  <c r="V59" i="2"/>
  <c r="V60" i="2"/>
  <c r="V62" i="2"/>
  <c r="W9" i="2"/>
  <c r="W10" i="2"/>
  <c r="W22" i="2"/>
  <c r="W36" i="2"/>
  <c r="W38" i="2"/>
  <c r="W43" i="2"/>
  <c r="W44" i="2"/>
  <c r="D32" i="1" l="1"/>
  <c r="D33" i="1"/>
  <c r="D140" i="1"/>
  <c r="D141" i="1"/>
  <c r="D44" i="1"/>
  <c r="D43" i="1"/>
  <c r="D42" i="1"/>
  <c r="D41" i="1"/>
  <c r="D142" i="1"/>
  <c r="D144" i="1"/>
  <c r="D143" i="1"/>
  <c r="D137" i="1"/>
  <c r="D139" i="1"/>
  <c r="D138" i="1"/>
  <c r="D123" i="1"/>
  <c r="D121" i="1"/>
  <c r="D101" i="1"/>
  <c r="D103" i="1"/>
  <c r="D102" i="1"/>
  <c r="D77" i="1"/>
  <c r="D80" i="1"/>
  <c r="D78" i="1"/>
  <c r="D58" i="1"/>
  <c r="D57" i="1"/>
  <c r="D28" i="1"/>
  <c r="D26" i="1"/>
  <c r="D8" i="1"/>
  <c r="D7" i="1"/>
  <c r="D10" i="1"/>
  <c r="D9" i="1"/>
  <c r="D11" i="1"/>
  <c r="D120" i="1"/>
  <c r="D119" i="1"/>
  <c r="D117" i="1"/>
  <c r="D116" i="1"/>
  <c r="D115" i="1"/>
  <c r="D118" i="1"/>
  <c r="D100" i="1"/>
  <c r="D99" i="1"/>
  <c r="D52" i="1"/>
  <c r="D51" i="1"/>
  <c r="D23" i="1"/>
  <c r="D6" i="1"/>
  <c r="D4" i="1"/>
  <c r="D148" i="1"/>
  <c r="D147" i="1"/>
  <c r="D128" i="1"/>
  <c r="D127" i="1"/>
  <c r="D111" i="1"/>
  <c r="D110" i="1"/>
  <c r="D109" i="1"/>
  <c r="D86" i="1"/>
  <c r="D89" i="1"/>
  <c r="D87" i="1"/>
  <c r="D63" i="1"/>
  <c r="D62" i="1"/>
  <c r="D16" i="1"/>
  <c r="D14" i="1"/>
  <c r="D163" i="1"/>
  <c r="D162" i="1"/>
  <c r="D158" i="1"/>
  <c r="D159" i="1"/>
  <c r="D161" i="1"/>
  <c r="D157" i="1"/>
  <c r="D160" i="1"/>
  <c r="D156" i="1"/>
  <c r="D154" i="1"/>
  <c r="D153" i="1"/>
  <c r="D155" i="1"/>
  <c r="D98" i="1"/>
  <c r="D96" i="1"/>
  <c r="D97" i="1"/>
  <c r="D95" i="1"/>
  <c r="D72" i="1"/>
  <c r="D74" i="1"/>
  <c r="D73" i="1"/>
  <c r="D48" i="1"/>
  <c r="D47" i="1"/>
  <c r="D50" i="1"/>
  <c r="D46" i="1"/>
  <c r="D49" i="1"/>
  <c r="D45" i="1"/>
  <c r="D3" i="1"/>
  <c r="D2" i="1"/>
  <c r="D150" i="1"/>
  <c r="D151" i="1"/>
  <c r="D133" i="1"/>
  <c r="D134" i="1"/>
  <c r="D70" i="1"/>
  <c r="D71" i="1"/>
  <c r="D69" i="1"/>
  <c r="D68" i="1"/>
  <c r="D40" i="1"/>
  <c r="D38" i="1"/>
  <c r="D107" i="1"/>
  <c r="D85" i="1"/>
  <c r="D83" i="1"/>
  <c r="D84" i="1"/>
  <c r="D60" i="1"/>
  <c r="D61" i="1"/>
  <c r="D132" i="1"/>
  <c r="D129" i="1"/>
  <c r="D130" i="1"/>
  <c r="D131" i="1"/>
  <c r="D91" i="1"/>
  <c r="D90" i="1"/>
  <c r="D67" i="1"/>
  <c r="D66" i="1"/>
  <c r="D64" i="1"/>
  <c r="D65" i="1"/>
  <c r="D35" i="1"/>
  <c r="D34" i="1"/>
  <c r="D37" i="1"/>
  <c r="D36" i="1"/>
  <c r="D18" i="1"/>
  <c r="D17" i="1"/>
  <c r="D125" i="1"/>
  <c r="D124" i="1"/>
  <c r="D21" i="1"/>
  <c r="D22" i="1"/>
  <c r="D92" i="1"/>
  <c r="D93" i="1"/>
  <c r="D30" i="1"/>
  <c r="D29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41" i="1" l="1"/>
  <c r="C15" i="4" s="1"/>
  <c r="E15" i="4" s="1"/>
  <c r="F15" i="4" s="1"/>
  <c r="AL72" i="1"/>
  <c r="C28" i="4" s="1"/>
  <c r="E28" i="4" s="1"/>
  <c r="F28" i="4" s="1"/>
  <c r="AL129" i="1"/>
  <c r="C55" i="4" s="1"/>
  <c r="E55" i="4" s="1"/>
  <c r="F55" i="4" s="1"/>
  <c r="AL68" i="1"/>
  <c r="C27" i="4" s="1"/>
  <c r="E27" i="4" s="1"/>
  <c r="F27" i="4" s="1"/>
  <c r="AL64" i="1"/>
  <c r="C26" i="4" s="1"/>
  <c r="E26" i="4" s="1"/>
  <c r="F26" i="4" s="1"/>
  <c r="AL77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5" i="1"/>
  <c r="W28" i="2" l="1"/>
  <c r="W63" i="2"/>
</calcChain>
</file>

<file path=xl/sharedStrings.xml><?xml version="1.0" encoding="utf-8"?>
<sst xmlns="http://schemas.openxmlformats.org/spreadsheetml/2006/main" count="2945" uniqueCount="392">
  <si>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</si>
  <si>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</si>
  <si>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</si>
  <si>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</si>
  <si>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</si>
  <si>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</si>
  <si>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</si>
  <si>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</si>
  <si>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</si>
  <si>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</si>
  <si>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</si>
  <si>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</si>
  <si>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</si>
  <si>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</si>
  <si>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</si>
  <si>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</si>
  <si>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</si>
  <si>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</si>
  <si>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</si>
  <si>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</si>
  <si>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</si>
  <si>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</si>
  <si>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</si>
  <si>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</si>
  <si>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</si>
  <si>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</si>
  <si>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</si>
  <si>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</si>
  <si>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</si>
  <si>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</si>
  <si>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</si>
  <si>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</si>
  <si>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</si>
  <si>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</si>
  <si>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</si>
  <si>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</si>
  <si>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</si>
  <si>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</si>
  <si>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</si>
  <si>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</si>
  <si>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</si>
  <si>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</si>
  <si>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</si>
  <si>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</si>
  <si>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</si>
  <si>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</si>
  <si>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</si>
  <si>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</si>
  <si>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</si>
  <si>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</si>
  <si>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</si>
  <si>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</si>
  <si>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</si>
  <si>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</si>
  <si>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</si>
  <si>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</si>
  <si>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</si>
  <si>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</si>
  <si>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</si>
  <si>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</si>
  <si>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</si>
  <si>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</si>
  <si>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</si>
  <si>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</si>
  <si>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</si>
  <si>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</si>
  <si>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</si>
  <si>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</si>
  <si>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</si>
  <si>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</si>
  <si>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</si>
  <si>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</si>
  <si>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</si>
  <si>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</si>
  <si>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</si>
  <si>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</si>
  <si>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</si>
  <si>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</si>
  <si>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</si>
  <si>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</si>
  <si>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</si>
  <si>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</si>
  <si>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</si>
  <si>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</si>
  <si>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</si>
  <si>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</si>
  <si>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</si>
  <si>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</si>
  <si>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</si>
  <si>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</si>
  <si>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</si>
  <si>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</si>
  <si>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</si>
  <si>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</si>
  <si>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</si>
  <si>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</si>
  <si>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</si>
  <si>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</si>
  <si>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</si>
  <si>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</si>
  <si>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</si>
  <si>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</si>
  <si>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</si>
  <si>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</si>
  <si>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</si>
  <si>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</si>
  <si>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</si>
  <si>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</si>
  <si>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</si>
  <si>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</si>
  <si>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</si>
  <si>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</si>
  <si>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</si>
  <si>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</si>
  <si>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</si>
  <si>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</si>
  <si>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</si>
  <si>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</si>
  <si>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</si>
  <si>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</si>
  <si>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</si>
  <si>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</si>
  <si>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</si>
  <si>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</si>
  <si>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</si>
  <si>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</si>
  <si>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</si>
  <si>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</si>
  <si>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</si>
  <si>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</si>
  <si>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</si>
  <si>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</si>
  <si>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</si>
  <si>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</si>
  <si>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</si>
  <si>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</si>
  <si>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</si>
  <si>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</si>
  <si>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</si>
  <si>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</si>
  <si>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</si>
  <si>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</si>
  <si>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</si>
  <si>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</si>
  <si>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</si>
  <si>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</si>
  <si>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</si>
  <si>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</si>
  <si>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</si>
  <si>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</si>
  <si>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</si>
  <si>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</si>
  <si>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</si>
  <si>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</si>
  <si>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</si>
  <si>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</si>
  <si>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</si>
  <si>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</si>
  <si>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</si>
  <si>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</si>
  <si>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</si>
  <si>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</si>
  <si>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</si>
  <si>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</si>
  <si>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</si>
  <si>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</si>
  <si>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</si>
  <si>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</si>
  <si>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</si>
  <si>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</si>
  <si>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</si>
  <si>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</si>
  <si>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</si>
  <si>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</si>
  <si>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</si>
  <si>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</si>
  <si>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</si>
  <si>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</si>
  <si>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</si>
  <si>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</si>
  <si>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</si>
  <si>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</si>
  <si>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</si>
  <si>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</si>
  <si>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</si>
  <si>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</si>
  <si>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</si>
  <si>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</si>
  <si>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</si>
  <si>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</si>
  <si>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</si>
  <si>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</si>
  <si>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</si>
  <si>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</si>
  <si>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</si>
  <si>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</si>
  <si>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</si>
  <si>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</si>
  <si>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</si>
  <si>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</si>
  <si>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</si>
  <si>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</si>
  <si>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</si>
  <si>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</si>
  <si>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</si>
  <si>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</si>
  <si>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</si>
  <si>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</si>
  <si>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</si>
  <si>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</si>
  <si>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</si>
  <si>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</si>
  <si>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</si>
  <si>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</si>
  <si>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</si>
  <si>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</si>
  <si>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</si>
  <si>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</si>
  <si>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</si>
  <si>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</si>
  <si>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</si>
  <si>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</si>
  <si>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</si>
  <si>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</si>
  <si>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</si>
  <si>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</si>
  <si>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</si>
  <si>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</si>
  <si>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</si>
  <si>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</si>
  <si>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</si>
  <si>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</si>
  <si>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</si>
  <si>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</si>
  <si>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</si>
  <si>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</si>
  <si>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</si>
  <si>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</si>
  <si>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</si>
  <si>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</si>
  <si>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</si>
  <si>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</si>
  <si>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</si>
  <si>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</si>
  <si>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</si>
  <si>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</si>
  <si>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</si>
  <si>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</si>
  <si>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</si>
  <si>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</si>
  <si>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</si>
  <si>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</si>
  <si>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</si>
  <si>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</si>
  <si>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</si>
  <si>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</si>
  <si>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</si>
  <si>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</si>
  <si>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</si>
  <si>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</si>
  <si>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</si>
  <si>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</si>
  <si>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</si>
  <si>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</si>
  <si>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</si>
  <si>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</si>
  <si>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</si>
  <si>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</si>
  <si>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</si>
  <si>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</si>
  <si>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</si>
  <si>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</si>
  <si>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</si>
  <si>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</si>
  <si>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</si>
  <si>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</si>
  <si>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</si>
  <si>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</si>
  <si>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</si>
  <si>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</si>
  <si>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</si>
  <si>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</si>
  <si>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</si>
  <si>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</si>
  <si>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</si>
  <si>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</si>
  <si>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</si>
  <si>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</si>
  <si>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</si>
  <si>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</si>
  <si>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</si>
  <si>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</si>
  <si>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</si>
  <si>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</si>
  <si>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</si>
  <si>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</si>
  <si>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</si>
  <si>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</si>
  <si>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</si>
  <si>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</si>
  <si>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</si>
  <si>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</si>
  <si>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</si>
  <si>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</si>
  <si>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</si>
  <si>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</si>
  <si>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</si>
  <si>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</si>
  <si>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</si>
  <si>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</si>
  <si>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</si>
  <si>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</si>
  <si>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</si>
  <si>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</si>
  <si>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</si>
  <si>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</si>
  <si>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</si>
  <si>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</si>
  <si>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</si>
  <si>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</si>
  <si>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</si>
  <si>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</si>
  <si>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</si>
  <si>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</si>
  <si>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</si>
  <si>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</si>
  <si>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</si>
  <si>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</si>
  <si>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</si>
  <si>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</si>
  <si>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</si>
  <si>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</si>
  <si>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</si>
  <si>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</si>
  <si>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</si>
  <si>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</si>
  <si>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</si>
  <si>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</si>
  <si>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</si>
  <si>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</si>
  <si>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</si>
  <si>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</si>
  <si>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</si>
  <si>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</si>
  <si>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</si>
  <si>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</si>
  <si>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</si>
  <si>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</si>
  <si>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</si>
  <si>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</si>
  <si>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</si>
  <si>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</si>
  <si>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</si>
  <si>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</si>
  <si>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</si>
  <si>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</si>
  <si>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</si>
  <si>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</si>
  <si>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</si>
  <si>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</si>
  <si>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</si>
  <si>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</si>
  <si>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</si>
  <si>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</si>
  <si>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</si>
  <si>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</si>
  <si>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</si>
  <si>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</si>
  <si>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</si>
  <si>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</si>
  <si>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</si>
  <si>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</si>
  <si>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</si>
  <si>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</si>
  <si>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</si>
  <si>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</si>
  <si>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</si>
  <si>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</si>
  <si>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</si>
  <si>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</si>
  <si>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</si>
  <si>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</si>
  <si>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</si>
  <si>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</si>
  <si>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</si>
  <si>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</si>
  <si>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</si>
  <si>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</si>
  <si>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CA (Old)</t>
  </si>
  <si>
    <t>Quizzes 1
(old)</t>
  </si>
  <si>
    <t>Problems</t>
  </si>
  <si>
    <t>Quizzes
(old)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</si>
</sst>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164" fontId="2" fillId="0" borderId="0" xfId="0" applyNumberFormat="1" applyFont="1" applyFill="1" applyAlignment="1">
      <alignment horizontal="center" vertical="center" wrapText="1" readingOrder="1"/>
    </xf>
    <xf numFmtId="0" fontId="0" fillId="4" borderId="0" xfId="0" applyFill="1"/>
    <xf numFmtId="0" fontId="2" fillId="4" borderId="0" xfId="0" applyFont="1" applyFill="1" applyAlignment="1">
      <alignment vertical="center" readingOrder="1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center" vertical="center" readingOrder="1"/>
    </xf>
    <xf numFmtId="1" fontId="2" fillId="4" borderId="0" xfId="0" applyNumberFormat="1" applyFont="1" applyFill="1" applyAlignment="1">
      <alignment horizontal="center" vertical="center" readingOrder="1"/>
    </xf>
    <xf numFmtId="2" fontId="2" fillId="4" borderId="0" xfId="0" applyNumberFormat="1" applyFont="1" applyFill="1" applyAlignment="1">
      <alignment vertical="center" readingOrder="1"/>
    </xf>
    <xf numFmtId="2" fontId="2" fillId="4" borderId="0" xfId="0" applyNumberFormat="1" applyFont="1" applyFill="1" applyAlignment="1">
      <alignment horizontal="center" vertical="center" readingOrder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8" totalsRowShown="0" headerRowDxfId="112" dataDxfId="110" headerRowBorderDxfId="111" tableBorderDxfId="109" totalsRowBorderDxfId="108">
  <autoFilter ref="A1:AL188" xr:uid="{FA69A777-C149-48BD-B248-35F32F0AC920}"/>
  <sortState xmlns:xlrd2="http://schemas.microsoft.com/office/spreadsheetml/2017/richdata2" ref="A2:AI159">
    <sortCondition ref="A1:A159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8"/>
  <sheetViews>
    <sheetView tabSelected="1" zoomScale="115" zoomScaleNormal="115" workbookViewId="0">
      <pane xSplit="2" ySplit="1" topLeftCell="E111" activePane="bottomRight" state="frozen"/>
      <selection pane="topRight" activeCell="C1" sqref="C1"/>
      <selection pane="bottomLeft" activeCell="A2" sqref="A2"/>
      <selection pane="bottomRight" activeCell="K129" sqref="K129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331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363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345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344</v>
      </c>
      <c r="G3" s="11" t="s">
        <v>229</v>
      </c>
      <c r="H3" s="11" t="s">
        <v>299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345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299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299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299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346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340</v>
      </c>
      <c r="G9" s="11" t="s">
        <v>220</v>
      </c>
      <c r="H9" s="11" t="s">
        <v>348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342</v>
      </c>
      <c r="G10" s="11" t="s">
        <v>229</v>
      </c>
      <c r="H10" s="11" t="s">
        <v>348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347</v>
      </c>
      <c r="G11" s="11" t="s">
        <v>229</v>
      </c>
      <c r="H11" s="11" t="s">
        <v>348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299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292</v>
      </c>
      <c r="G13" s="11" t="s">
        <v>229</v>
      </c>
      <c r="H13" s="11" t="s">
        <v>299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362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349</v>
      </c>
      <c r="G15" s="11" t="s">
        <v>229</v>
      </c>
      <c r="H15" s="11" t="s">
        <v>305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350</v>
      </c>
      <c r="G16" s="11" t="s">
        <v>229</v>
      </c>
      <c r="H16" s="11" t="s">
        <v>353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305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353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351</v>
      </c>
      <c r="G19" s="11" t="s">
        <v>229</v>
      </c>
      <c r="H19" s="11" t="s">
        <v>353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299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305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299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379</v>
      </c>
      <c r="G23" s="11" t="s">
        <v>229</v>
      </c>
      <c r="H23" s="11" t="s">
        <v>353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378</v>
      </c>
      <c r="G24" s="11" t="s">
        <v>229</v>
      </c>
      <c r="H24" s="11" t="s">
        <v>299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299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388</v>
      </c>
      <c r="G26" s="11" t="s">
        <v>229</v>
      </c>
      <c r="H26" s="11" t="s">
        <v>299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0</v>
      </c>
      <c r="K26" s="11"/>
      <c r="L26" s="18"/>
      <c r="M26" s="18"/>
      <c r="N26" s="18">
        <v>-2.5000000000000001E-2</v>
      </c>
      <c r="O26" s="18">
        <v>-3.5000000000000003E-2</v>
      </c>
      <c r="P26" s="18">
        <v>-0.01</v>
      </c>
      <c r="Q26" s="18">
        <v>-0.05</v>
      </c>
      <c r="R26" s="18"/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</v>
      </c>
      <c r="AL26" s="27">
        <f>IF(Table1[[#This Row],[Hours]]&gt;0,Table1[[#This Row],[Hours]],Table1[[#This Row],[Nominal Hours]])*COUNTIF(Table1[[#This Row],[Autumn Week 1]:[Spring Week 12]],"&gt;0")</f>
        <v>0</v>
      </c>
    </row>
    <row r="27" spans="1:38">
      <c r="A27" s="4" t="s">
        <v>258</v>
      </c>
      <c r="B27" s="2" t="s">
        <v>257</v>
      </c>
      <c r="C27" s="11" t="s">
        <v>5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206</v>
      </c>
      <c r="G27" s="11" t="s">
        <v>229</v>
      </c>
      <c r="H27" s="11" t="s">
        <v>305</v>
      </c>
      <c r="I27" s="11">
        <v>2</v>
      </c>
      <c r="J27" s="11">
        <f>IFERROR(AVERAGEIF(Table1[[#This Row],[Autumn Week 1]:[Spring Exams]],"&gt;0",Table1[[#This Row],[Autumn Week 1]:[Spring Exams]])*4*Table1[[#This Row],[Credits]],0)</f>
        <v>2.6666666666666665</v>
      </c>
      <c r="K27" s="11"/>
      <c r="L27" s="18"/>
      <c r="M27" s="18"/>
      <c r="N27" s="18">
        <f>0.2/3</f>
        <v>6.6666666666666666E-2</v>
      </c>
      <c r="O27" s="18"/>
      <c r="P27" s="18">
        <f>0.2/3</f>
        <v>6.6666666666666666E-2</v>
      </c>
      <c r="Q27" s="18"/>
      <c r="R27" s="18">
        <f>0.2/3</f>
        <v>6.6666666666666666E-2</v>
      </c>
      <c r="S27" s="18"/>
      <c r="T27" s="18"/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8</v>
      </c>
    </row>
    <row r="28" spans="1:38">
      <c r="A28" s="4" t="s">
        <v>258</v>
      </c>
      <c r="B28" s="2" t="s">
        <v>257</v>
      </c>
      <c r="C28" s="11" t="s">
        <v>121</v>
      </c>
      <c r="D28" s="29">
        <f>INDEX(Table2[CA weight],MATCH(Table1[[#This Row],[Module Code]],Table2[Module Code],0))</f>
        <v>40</v>
      </c>
      <c r="E28" s="29">
        <f>INDEX(Table2[Credits],MATCH(Table1[[#This Row],[Module Code]],Table2[Module Code],0))</f>
        <v>10</v>
      </c>
      <c r="F28" s="11" t="s">
        <v>263</v>
      </c>
      <c r="G28" s="11" t="s">
        <v>229</v>
      </c>
      <c r="H28" s="11" t="s">
        <v>321</v>
      </c>
      <c r="I28" s="11">
        <v>3</v>
      </c>
      <c r="J28" s="11">
        <f>IFERROR(AVERAGEIF(Table1[[#This Row],[Autumn Week 1]:[Spring Exams]],"&gt;0",Table1[[#This Row],[Autumn Week 1]:[Spring Exams]])*4*Table1[[#This Row],[Credits]],0)</f>
        <v>8</v>
      </c>
      <c r="K28" s="11">
        <v>0.5</v>
      </c>
      <c r="L28" s="18"/>
      <c r="M28" s="18"/>
      <c r="N28" s="18"/>
      <c r="O28" s="19"/>
      <c r="P28" s="18"/>
      <c r="Q28" s="18"/>
      <c r="R28" s="18"/>
      <c r="S28" s="19"/>
      <c r="T28" s="18">
        <v>0.2</v>
      </c>
      <c r="U28" s="18"/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0.2</v>
      </c>
      <c r="AL28" s="27">
        <f>IF(Table1[[#This Row],[Hours]]&gt;0,Table1[[#This Row],[Hours]],Table1[[#This Row],[Nominal Hours]])*COUNTIF(Table1[[#This Row],[Autumn Week 1]:[Spring Week 12]],"&gt;0")</f>
        <v>0.5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352</v>
      </c>
      <c r="G29" s="11" t="s">
        <v>229</v>
      </c>
      <c r="H29" s="11" t="s">
        <v>305</v>
      </c>
      <c r="I29" s="11">
        <v>1</v>
      </c>
      <c r="J29" s="11">
        <f>IFERROR(AVERAGEIF(Table1[[#This Row],[Autumn Week 1]:[Spring Exams]],"&gt;0",Table1[[#This Row],[Autumn Week 1]:[Spring Exams]])*4*Table1[[#This Row],[Credits]],0)</f>
        <v>0.39999999999999991</v>
      </c>
      <c r="K29" s="11">
        <v>1</v>
      </c>
      <c r="L29" s="18">
        <v>0.01</v>
      </c>
      <c r="M29" s="18">
        <v>0.01</v>
      </c>
      <c r="N29" s="18">
        <v>0.01</v>
      </c>
      <c r="O29" s="18">
        <v>0.01</v>
      </c>
      <c r="P29" s="18">
        <v>0.01</v>
      </c>
      <c r="Q29" s="18">
        <v>0.01</v>
      </c>
      <c r="R29" s="18">
        <v>0.01</v>
      </c>
      <c r="S29" s="18">
        <v>0.01</v>
      </c>
      <c r="T29" s="18">
        <v>0.01</v>
      </c>
      <c r="U29" s="18">
        <v>0.01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9.9999999999999992E-2</v>
      </c>
      <c r="AL29" s="27">
        <f>IF(Table1[[#This Row],[Hours]]&gt;0,Table1[[#This Row],[Hours]],Table1[[#This Row],[Nominal Hours]])*COUNTIF(Table1[[#This Row],[Autumn Week 1]:[Spring Week 12]],"&gt;0")</f>
        <v>10</v>
      </c>
    </row>
    <row r="30" spans="1:38">
      <c r="A30" s="4" t="s">
        <v>234</v>
      </c>
      <c r="B30" s="2" t="s">
        <v>235</v>
      </c>
      <c r="C30" s="11" t="s">
        <v>5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344</v>
      </c>
      <c r="G30" s="11" t="s">
        <v>229</v>
      </c>
      <c r="H30" s="11" t="s">
        <v>299</v>
      </c>
      <c r="I30" s="11">
        <v>3</v>
      </c>
      <c r="J30" s="11">
        <f>IFERROR(AVERAGEIF(Table1[[#This Row],[Autumn Week 1]:[Spring Exams]],"&gt;0",Table1[[#This Row],[Autumn Week 1]:[Spring Exams]])*4*Table1[[#This Row],[Credits]],0)</f>
        <v>8</v>
      </c>
      <c r="K30" s="11">
        <v>15</v>
      </c>
      <c r="L30" s="18"/>
      <c r="M30" s="18"/>
      <c r="N30" s="18"/>
      <c r="O30" s="19"/>
      <c r="P30" s="18"/>
      <c r="Q30" s="18"/>
      <c r="R30" s="18">
        <v>0.2</v>
      </c>
      <c r="S30" s="19"/>
      <c r="T30" s="18"/>
      <c r="U30" s="18"/>
      <c r="V30" s="18">
        <v>0.2</v>
      </c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0.4</v>
      </c>
      <c r="AL30" s="27">
        <f>IF(Table1[[#This Row],[Hours]]&gt;0,Table1[[#This Row],[Hours]],Table1[[#This Row],[Nominal Hours]])*COUNTIF(Table1[[#This Row],[Autumn Week 1]:[Spring Week 12]],"&gt;0")</f>
        <v>30</v>
      </c>
    </row>
    <row r="31" spans="1:38">
      <c r="A31" s="4" t="s">
        <v>234</v>
      </c>
      <c r="B31" s="2" t="s">
        <v>235</v>
      </c>
      <c r="C31" s="11" t="s">
        <v>4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267</v>
      </c>
      <c r="G31" s="11" t="s">
        <v>229</v>
      </c>
      <c r="H31" s="11" t="s">
        <v>309</v>
      </c>
      <c r="I31" s="11">
        <v>1</v>
      </c>
      <c r="J31" s="11">
        <f>IFERROR(AVERAGEIF(Table1[[#This Row],[Autumn Week 1]:[Spring Exams]],"&gt;0",Table1[[#This Row],[Autumn Week 1]:[Spring Exams]])*4*Table1[[#This Row],[Credits]],0)</f>
        <v>20</v>
      </c>
      <c r="K31" s="11">
        <v>0.5</v>
      </c>
      <c r="L31" s="18"/>
      <c r="M31" s="18"/>
      <c r="N31" s="18"/>
      <c r="O31" s="19"/>
      <c r="P31" s="18"/>
      <c r="Q31" s="18"/>
      <c r="R31" s="18"/>
      <c r="S31" s="19"/>
      <c r="T31" s="18"/>
      <c r="U31" s="18"/>
      <c r="V31" s="18"/>
      <c r="W31" s="19">
        <v>0.5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0.5</v>
      </c>
      <c r="AL31" s="27">
        <f>IF(Table1[[#This Row],[Hours]]&gt;0,Table1[[#This Row],[Hours]],Table1[[#This Row],[Nominal Hours]])*COUNTIF(Table1[[#This Row],[Autumn Week 1]:[Spring Week 12]],"&gt;0")</f>
        <v>0.5</v>
      </c>
    </row>
    <row r="32" spans="1:38">
      <c r="A32" s="4" t="s">
        <v>40</v>
      </c>
      <c r="B32" s="2" t="s">
        <v>41</v>
      </c>
      <c r="C32" s="11" t="s">
        <v>5</v>
      </c>
      <c r="D32" s="29">
        <f>INDEX(Table2[CA weight],MATCH(Table1[[#This Row],[Module Code]],Table2[Module Code],0))</f>
        <v>20</v>
      </c>
      <c r="E32" s="29">
        <f>INDEX(Table2[Credits],MATCH(Table1[[#This Row],[Module Code]],Table2[Module Code],0))</f>
        <v>10</v>
      </c>
      <c r="F32" s="11" t="s">
        <v>378</v>
      </c>
      <c r="G32" s="11" t="s">
        <v>229</v>
      </c>
      <c r="H32" s="11" t="s">
        <v>305</v>
      </c>
      <c r="I32" s="11">
        <v>3</v>
      </c>
      <c r="J32" s="11">
        <f>IFERROR(AVERAGEIF(Table1[[#This Row],[Autumn Week 1]:[Spring Exams]],"&gt;0",Table1[[#This Row],[Autumn Week 1]:[Spring Exams]])*4*Table1[[#This Row],[Credits]],0)</f>
        <v>0</v>
      </c>
      <c r="K32" s="11">
        <v>6</v>
      </c>
      <c r="L32" s="18"/>
      <c r="M32" s="18"/>
      <c r="N32" s="18"/>
      <c r="O32" s="19"/>
      <c r="P32" s="18"/>
      <c r="Q32" s="18"/>
      <c r="R32" s="18"/>
      <c r="S32" s="19"/>
      <c r="T32" s="18">
        <v>-0.2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</v>
      </c>
      <c r="AL32" s="27">
        <f>IF(Table1[[#This Row],[Hours]]&gt;0,Table1[[#This Row],[Hours]],Table1[[#This Row],[Nominal Hours]])*COUNTIF(Table1[[#This Row],[Autumn Week 1]:[Spring Week 12]],"&gt;0")</f>
        <v>0</v>
      </c>
    </row>
    <row r="33" spans="1:38">
      <c r="A33" s="49" t="s">
        <v>40</v>
      </c>
      <c r="B33" s="50" t="s">
        <v>41</v>
      </c>
      <c r="C33" s="51" t="s">
        <v>5</v>
      </c>
      <c r="D33" s="52">
        <f>INDEX(Table2[CA weight],MATCH(Table1[[#This Row],[Module Code]],Table2[Module Code],0))</f>
        <v>20</v>
      </c>
      <c r="E33" s="52">
        <f>INDEX(Table2[Credits],MATCH(Table1[[#This Row],[Module Code]],Table2[Module Code],0))</f>
        <v>10</v>
      </c>
      <c r="F33" s="51" t="s">
        <v>206</v>
      </c>
      <c r="G33" s="51" t="s">
        <v>229</v>
      </c>
      <c r="H33" s="51" t="s">
        <v>305</v>
      </c>
      <c r="I33" s="51">
        <v>3</v>
      </c>
      <c r="J33" s="51">
        <f>IFERROR(AVERAGEIF(Table1[[#This Row],[Autumn Week 1]:[Spring Exams]],"&gt;0",Table1[[#This Row],[Autumn Week 1]:[Spring Exams]])*4*Table1[[#This Row],[Credits]],0)</f>
        <v>8</v>
      </c>
      <c r="K33" s="51">
        <v>6</v>
      </c>
      <c r="L33" s="18"/>
      <c r="M33" s="18"/>
      <c r="N33" s="18"/>
      <c r="O33" s="19"/>
      <c r="P33" s="18"/>
      <c r="Q33" s="18"/>
      <c r="R33" s="18">
        <v>0.2</v>
      </c>
      <c r="S33" s="19"/>
      <c r="T33" s="18"/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0.2</v>
      </c>
      <c r="AL33" s="27">
        <f>IF(Table1[[#This Row],[Hours]]&gt;0,Table1[[#This Row],[Hours]],Table1[[#This Row],[Nominal Hours]])*COUNTIF(Table1[[#This Row],[Autumn Week 1]:[Spring Week 12]],"&gt;0")</f>
        <v>6</v>
      </c>
    </row>
    <row r="34" spans="1:38" ht="28">
      <c r="A34" s="4" t="s">
        <v>44</v>
      </c>
      <c r="B34" s="2" t="s">
        <v>42</v>
      </c>
      <c r="C34" s="11" t="s">
        <v>125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37" t="s">
        <v>384</v>
      </c>
      <c r="G34" s="11" t="s">
        <v>229</v>
      </c>
      <c r="H34" s="11" t="s">
        <v>345</v>
      </c>
      <c r="I34" s="11">
        <v>1</v>
      </c>
      <c r="J34" s="11">
        <f>IFERROR(AVERAGEIF(Table1[[#This Row],[Autumn Week 1]:[Spring Exams]],"&gt;0",Table1[[#This Row],[Autumn Week 1]:[Spring Exams]])*4*Table1[[#This Row],[Credits]],0)</f>
        <v>0.4</v>
      </c>
      <c r="K34" s="11"/>
      <c r="L34" s="18">
        <v>0.01</v>
      </c>
      <c r="M34" s="18">
        <v>0.01</v>
      </c>
      <c r="N34" s="18">
        <v>0.01</v>
      </c>
      <c r="O34" s="18">
        <v>0.01</v>
      </c>
      <c r="P34" s="18">
        <v>0.01</v>
      </c>
      <c r="Q34" s="18">
        <v>0.01</v>
      </c>
      <c r="R34" s="18">
        <v>0.01</v>
      </c>
      <c r="S34" s="18">
        <v>0.01</v>
      </c>
      <c r="T34" s="18">
        <v>0.01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0.09</v>
      </c>
      <c r="AL34" s="27">
        <f>IF(Table1[[#This Row],[Hours]]&gt;0,Table1[[#This Row],[Hours]],Table1[[#This Row],[Nominal Hours]])*COUNTIF(Table1[[#This Row],[Autumn Week 1]:[Spring Week 12]],"&gt;0")</f>
        <v>3.6</v>
      </c>
    </row>
    <row r="35" spans="1:38">
      <c r="A35" s="4" t="s">
        <v>44</v>
      </c>
      <c r="B35" s="2" t="s">
        <v>42</v>
      </c>
      <c r="C35" s="11" t="s">
        <v>5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383</v>
      </c>
      <c r="G35" s="11" t="s">
        <v>229</v>
      </c>
      <c r="H35" s="11" t="s">
        <v>299</v>
      </c>
      <c r="I35" s="11">
        <v>2</v>
      </c>
      <c r="J35" s="11">
        <f>IFERROR(AVERAGEIF(Table1[[#This Row],[Autumn Week 1]:[Spring Exams]],"&gt;0",Table1[[#This Row],[Autumn Week 1]:[Spring Exams]])*4*Table1[[#This Row],[Credits]],0)</f>
        <v>3.2</v>
      </c>
      <c r="K35" s="11">
        <v>2</v>
      </c>
      <c r="L35" s="18"/>
      <c r="M35" s="18"/>
      <c r="N35" s="18"/>
      <c r="O35" s="19">
        <v>0.08</v>
      </c>
      <c r="P35" s="19"/>
      <c r="Q35" s="18"/>
      <c r="R35" s="18"/>
      <c r="S35" s="18">
        <v>-7.4999999999999997E-2</v>
      </c>
      <c r="T35" s="18">
        <v>0.08</v>
      </c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0.16</v>
      </c>
      <c r="AL35" s="27">
        <f>IF(Table1[[#This Row],[Hours]]&gt;0,Table1[[#This Row],[Hours]],Table1[[#This Row],[Nominal Hours]])*COUNTIF(Table1[[#This Row],[Autumn Week 1]:[Spring Week 12]],"&gt;0")</f>
        <v>4</v>
      </c>
    </row>
    <row r="36" spans="1:38">
      <c r="A36" s="4" t="s">
        <v>44</v>
      </c>
      <c r="B36" s="2" t="s">
        <v>42</v>
      </c>
      <c r="C36" s="11" t="s">
        <v>121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208</v>
      </c>
      <c r="G36" s="11" t="s">
        <v>229</v>
      </c>
      <c r="H36" s="11" t="s">
        <v>299</v>
      </c>
      <c r="I36" s="11">
        <v>3</v>
      </c>
      <c r="J36" s="11">
        <f>IFERROR(AVERAGEIF(Table1[[#This Row],[Autumn Week 1]:[Spring Exams]],"&gt;0",Table1[[#This Row],[Autumn Week 1]:[Spring Exams]])*4*Table1[[#This Row],[Credits]],0)</f>
        <v>8</v>
      </c>
      <c r="K36" s="11">
        <v>15</v>
      </c>
      <c r="L36" s="18"/>
      <c r="M36" s="18"/>
      <c r="N36" s="18"/>
      <c r="O36" s="19"/>
      <c r="P36" s="18"/>
      <c r="Q36" s="18"/>
      <c r="R36" s="18">
        <v>-0.2</v>
      </c>
      <c r="S36" s="19">
        <v>0.2</v>
      </c>
      <c r="T36" s="18"/>
      <c r="U36" s="18"/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>
      <c r="A37" s="4" t="s">
        <v>44</v>
      </c>
      <c r="B37" s="2" t="s">
        <v>42</v>
      </c>
      <c r="C37" s="11" t="s">
        <v>122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385</v>
      </c>
      <c r="G37" s="11" t="s">
        <v>229</v>
      </c>
      <c r="H37" s="11" t="s">
        <v>299</v>
      </c>
      <c r="I37" s="11">
        <v>9</v>
      </c>
      <c r="J37" s="11">
        <f>IFERROR(AVERAGEIF(Table1[[#This Row],[Autumn Week 1]:[Spring Exams]],"&gt;0",Table1[[#This Row],[Autumn Week 1]:[Spring Exams]])*4*Table1[[#This Row],[Credits]],0)</f>
        <v>22</v>
      </c>
      <c r="K37" s="11">
        <v>9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0.55000000000000004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0.55000000000000004</v>
      </c>
      <c r="AL37" s="27">
        <f>IF(Table1[[#This Row],[Hours]]&gt;0,Table1[[#This Row],[Hours]],Table1[[#This Row],[Nominal Hours]])*COUNTIF(Table1[[#This Row],[Autumn Week 1]:[Spring Week 12]],"&gt;0")</f>
        <v>9</v>
      </c>
    </row>
    <row r="38" spans="1:38" ht="14.65" customHeight="1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366</v>
      </c>
      <c r="G38" s="11" t="s">
        <v>220</v>
      </c>
      <c r="H38" s="11" t="s">
        <v>345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2</v>
      </c>
      <c r="K38" s="11">
        <v>3</v>
      </c>
      <c r="L38" s="18"/>
      <c r="M38" s="18"/>
      <c r="N38" s="18"/>
      <c r="O38" s="19"/>
      <c r="P38" s="18"/>
      <c r="Q38" s="18">
        <v>0.05</v>
      </c>
      <c r="R38" s="18">
        <v>0.05</v>
      </c>
      <c r="S38" s="18">
        <v>0.05</v>
      </c>
      <c r="T38" s="18">
        <v>0.05</v>
      </c>
      <c r="U38" s="18">
        <v>0.05</v>
      </c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0.25</v>
      </c>
      <c r="AL38" s="27">
        <f>IF(Table1[[#This Row],[Hours]]&gt;0,Table1[[#This Row],[Hours]],Table1[[#This Row],[Nominal Hours]])*COUNTIF(Table1[[#This Row],[Autumn Week 1]:[Spring Week 12]],"&gt;0")</f>
        <v>15</v>
      </c>
    </row>
    <row r="39" spans="1:38" ht="14.65" customHeight="1">
      <c r="A39" s="4" t="s">
        <v>45</v>
      </c>
      <c r="B39" s="2" t="s">
        <v>43</v>
      </c>
      <c r="C39" s="11" t="s">
        <v>364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365</v>
      </c>
      <c r="G39" s="11" t="s">
        <v>229</v>
      </c>
      <c r="H39" s="11" t="s">
        <v>299</v>
      </c>
      <c r="I39" s="11">
        <v>1</v>
      </c>
      <c r="J39" s="11">
        <f>IFERROR(AVERAGEIF(Table1[[#This Row],[Autumn Week 1]:[Spring Exams]],"&gt;0",Table1[[#This Row],[Autumn Week 1]:[Spring Exams]])*4*Table1[[#This Row],[Credits]],0)</f>
        <v>6</v>
      </c>
      <c r="K39" s="11">
        <v>3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0.15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0.15</v>
      </c>
      <c r="AL39" s="27">
        <f>IF(Table1[[#This Row],[Hours]]&gt;0,Table1[[#This Row],[Hours]],Table1[[#This Row],[Nominal Hours]])*COUNTIF(Table1[[#This Row],[Autumn Week 1]:[Spring Week 12]],"&gt;0")</f>
        <v>3</v>
      </c>
    </row>
    <row r="40" spans="1:38">
      <c r="A40" s="4" t="s">
        <v>45</v>
      </c>
      <c r="B40" s="2" t="s">
        <v>43</v>
      </c>
      <c r="C40" s="11" t="s">
        <v>5</v>
      </c>
      <c r="D40" s="29">
        <f>INDEX(Table2[CA weight],MATCH(Table1[[#This Row],[Module Code]],Table2[Module Code],0))</f>
        <v>35</v>
      </c>
      <c r="E40" s="29">
        <f>INDEX(Table2[Credits],MATCH(Table1[[#This Row],[Module Code]],Table2[Module Code],0))</f>
        <v>10</v>
      </c>
      <c r="F40" s="11" t="s">
        <v>205</v>
      </c>
      <c r="G40" s="11" t="s">
        <v>229</v>
      </c>
      <c r="H40" s="11" t="s">
        <v>305</v>
      </c>
      <c r="I40" s="11">
        <v>5</v>
      </c>
      <c r="J40" s="11">
        <f>IFERROR(AVERAGEIF(Table1[[#This Row],[Autumn Week 1]:[Spring Exams]],"&gt;0",Table1[[#This Row],[Autumn Week 1]:[Spring Exams]])*4*Table1[[#This Row],[Credits]],0)</f>
        <v>8</v>
      </c>
      <c r="K40" s="11"/>
      <c r="L40" s="18"/>
      <c r="M40" s="18"/>
      <c r="N40" s="18"/>
      <c r="O40" s="19"/>
      <c r="P40" s="18"/>
      <c r="Q40" s="18"/>
      <c r="R40" s="18"/>
      <c r="S40" s="19"/>
      <c r="T40" s="18"/>
      <c r="U40" s="18"/>
      <c r="V40" s="18"/>
      <c r="W40" s="19">
        <v>0.2</v>
      </c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0.2</v>
      </c>
      <c r="AL40" s="27">
        <f>IF(Table1[[#This Row],[Hours]]&gt;0,Table1[[#This Row],[Hours]],Table1[[#This Row],[Nominal Hours]])*COUNTIF(Table1[[#This Row],[Autumn Week 1]:[Spring Week 12]],"&gt;0")</f>
        <v>8</v>
      </c>
    </row>
    <row r="41" spans="1:38" ht="28">
      <c r="A41" s="4" t="s">
        <v>49</v>
      </c>
      <c r="B41" s="2" t="s">
        <v>48</v>
      </c>
      <c r="C41" s="11" t="s">
        <v>124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37" t="s">
        <v>291</v>
      </c>
      <c r="G41" s="11" t="s">
        <v>229</v>
      </c>
      <c r="H41" s="11" t="s">
        <v>354</v>
      </c>
      <c r="I41" s="11">
        <v>3</v>
      </c>
      <c r="J41" s="11">
        <f>IFERROR(AVERAGEIF(Table1[[#This Row],[Autumn Week 1]:[Spring Exams]],"&gt;0",Table1[[#This Row],[Autumn Week 1]:[Spring Exams]])*4*Table1[[#This Row],[Credits]],0)</f>
        <v>7.2000000000000011</v>
      </c>
      <c r="K41" s="11">
        <v>6</v>
      </c>
      <c r="L41" s="18"/>
      <c r="M41" s="18"/>
      <c r="N41" s="18"/>
      <c r="O41" s="18">
        <v>0.18</v>
      </c>
      <c r="P41" s="18"/>
      <c r="Q41" s="18"/>
      <c r="R41" s="18">
        <v>0.18</v>
      </c>
      <c r="S41" s="19"/>
      <c r="T41" s="18"/>
      <c r="U41" s="18">
        <v>0.18</v>
      </c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0.54</v>
      </c>
      <c r="AL41" s="27">
        <f>IF(Table1[[#This Row],[Hours]]&gt;0,Table1[[#This Row],[Hours]],Table1[[#This Row],[Nominal Hours]])*COUNTIF(Table1[[#This Row],[Autumn Week 1]:[Spring Week 12]],"&gt;0")</f>
        <v>18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204</v>
      </c>
      <c r="G42" s="11" t="s">
        <v>229</v>
      </c>
      <c r="H42" s="11" t="s">
        <v>354</v>
      </c>
      <c r="I42" s="11">
        <v>1</v>
      </c>
      <c r="J42" s="11">
        <f>IFERROR(AVERAGEIF(Table1[[#This Row],[Autumn Week 1]:[Spring Exams]],"&gt;0",Table1[[#This Row],[Autumn Week 1]:[Spring Exams]])*4*Table1[[#This Row],[Credits]],0)</f>
        <v>4</v>
      </c>
      <c r="K42" s="11">
        <v>1</v>
      </c>
      <c r="L42" s="18"/>
      <c r="M42" s="18">
        <v>0.1</v>
      </c>
      <c r="N42" s="18"/>
      <c r="O42" s="19"/>
      <c r="P42" s="18"/>
      <c r="Q42" s="18"/>
      <c r="R42" s="18"/>
      <c r="S42" s="19"/>
      <c r="T42" s="18"/>
      <c r="U42" s="18"/>
      <c r="V42" s="18"/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0.1</v>
      </c>
      <c r="AL42" s="27">
        <f>IF(Table1[[#This Row],[Hours]]&gt;0,Table1[[#This Row],[Hours]],Table1[[#This Row],[Nominal Hours]])*COUNTIF(Table1[[#This Row],[Autumn Week 1]:[Spring Week 12]],"&gt;0")</f>
        <v>1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205</v>
      </c>
      <c r="G43" s="11" t="s">
        <v>229</v>
      </c>
      <c r="H43" s="11" t="s">
        <v>299</v>
      </c>
      <c r="I43" s="11">
        <v>3</v>
      </c>
      <c r="J43" s="11">
        <f>IFERROR(AVERAGEIF(Table1[[#This Row],[Autumn Week 1]:[Spring Exams]],"&gt;0",Table1[[#This Row],[Autumn Week 1]:[Spring Exams]])*4*Table1[[#This Row],[Credits]],0)</f>
        <v>12</v>
      </c>
      <c r="K43" s="11">
        <v>15</v>
      </c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0.3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0.3</v>
      </c>
      <c r="AL43" s="27">
        <f>IF(Table1[[#This Row],[Hours]]&gt;0,Table1[[#This Row],[Hours]],Table1[[#This Row],[Nominal Hours]])*COUNTIF(Table1[[#This Row],[Autumn Week 1]:[Spring Week 12]],"&gt;0")</f>
        <v>15</v>
      </c>
    </row>
    <row r="44" spans="1:38">
      <c r="A44" s="4" t="s">
        <v>49</v>
      </c>
      <c r="B44" s="2" t="s">
        <v>48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10</v>
      </c>
      <c r="F44" s="11" t="s">
        <v>260</v>
      </c>
      <c r="G44" s="11" t="s">
        <v>229</v>
      </c>
      <c r="H44" s="11" t="s">
        <v>299</v>
      </c>
      <c r="I44" s="11">
        <v>10</v>
      </c>
      <c r="J44" s="11">
        <f>IFERROR(AVERAGEIF(Table1[[#This Row],[Autumn Week 1]:[Spring Exams]],"&gt;0",Table1[[#This Row],[Autumn Week 1]:[Spring Exams]])*4*Table1[[#This Row],[Credits]],0)</f>
        <v>2.4</v>
      </c>
      <c r="K44" s="11">
        <v>0.5</v>
      </c>
      <c r="L44" s="18"/>
      <c r="M44" s="18"/>
      <c r="N44" s="18"/>
      <c r="O44" s="19"/>
      <c r="P44" s="18"/>
      <c r="Q44" s="18"/>
      <c r="R44" s="18"/>
      <c r="S44" s="19"/>
      <c r="T44" s="18"/>
      <c r="U44" s="18"/>
      <c r="V44" s="18">
        <v>0.06</v>
      </c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0.06</v>
      </c>
      <c r="AL44" s="27">
        <f>IF(Table1[[#This Row],[Hours]]&gt;0,Table1[[#This Row],[Hours]],Table1[[#This Row],[Nominal Hours]])*COUNTIF(Table1[[#This Row],[Autumn Week 1]:[Spring Week 12]],"&gt;0")</f>
        <v>0.5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340</v>
      </c>
      <c r="G45" s="11" t="s">
        <v>220</v>
      </c>
      <c r="H45" s="11" t="s">
        <v>354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4.0000000000000018</v>
      </c>
      <c r="K45" s="11">
        <v>0.5</v>
      </c>
      <c r="L45" s="18">
        <v>0.05</v>
      </c>
      <c r="M45" s="18">
        <v>0.05</v>
      </c>
      <c r="N45" s="18">
        <v>0.05</v>
      </c>
      <c r="O45" s="18">
        <v>0.05</v>
      </c>
      <c r="P45" s="18">
        <v>0.05</v>
      </c>
      <c r="Q45" s="18">
        <v>0.05</v>
      </c>
      <c r="R45" s="18">
        <v>0.05</v>
      </c>
      <c r="S45" s="18">
        <v>0.05</v>
      </c>
      <c r="T45" s="18">
        <v>0.05</v>
      </c>
      <c r="U45" s="18">
        <v>0.05</v>
      </c>
      <c r="V45" s="18"/>
      <c r="W45" s="19"/>
      <c r="X45" s="20">
        <v>0.05</v>
      </c>
      <c r="Y45" s="20">
        <v>0.05</v>
      </c>
      <c r="Z45" s="20">
        <v>0.05</v>
      </c>
      <c r="AA45" s="20">
        <v>0.05</v>
      </c>
      <c r="AB45" s="20">
        <v>0.05</v>
      </c>
      <c r="AC45" s="20">
        <v>0.05</v>
      </c>
      <c r="AD45" s="20">
        <v>0.05</v>
      </c>
      <c r="AE45" s="20">
        <v>0.05</v>
      </c>
      <c r="AF45" s="20">
        <v>0.05</v>
      </c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0.95000000000000029</v>
      </c>
      <c r="AL45" s="27">
        <f>IF(Table1[[#This Row],[Hours]]&gt;0,Table1[[#This Row],[Hours]],Table1[[#This Row],[Nominal Hours]])*COUNTIF(Table1[[#This Row],[Autumn Week 1]:[Spring Week 12]],"&gt;0")</f>
        <v>9.5</v>
      </c>
    </row>
    <row r="46" spans="1:38">
      <c r="A46" s="4" t="s">
        <v>51</v>
      </c>
      <c r="B46" s="2" t="s">
        <v>50</v>
      </c>
      <c r="C46" s="11" t="s">
        <v>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341</v>
      </c>
      <c r="G46" s="11" t="s">
        <v>229</v>
      </c>
      <c r="H46" s="11" t="s">
        <v>354</v>
      </c>
      <c r="I46" s="11">
        <v>1</v>
      </c>
      <c r="J46" s="11">
        <f>IFERROR(AVERAGEIF(Table1[[#This Row],[Autumn Week 1]:[Spring Exams]],"&gt;0",Table1[[#This Row],[Autumn Week 1]:[Spring Exams]])*4*Table1[[#This Row],[Credits]],0)</f>
        <v>4</v>
      </c>
      <c r="K46" s="11">
        <v>1</v>
      </c>
      <c r="L46" s="18"/>
      <c r="M46" s="18">
        <v>0.05</v>
      </c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0.05</v>
      </c>
      <c r="AL46" s="27">
        <f>IF(Table1[[#This Row],[Hours]]&gt;0,Table1[[#This Row],[Hours]],Table1[[#This Row],[Nominal Hours]])*COUNTIF(Table1[[#This Row],[Autumn Week 1]:[Spring Week 12]],"&gt;0")</f>
        <v>1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342</v>
      </c>
      <c r="G47" s="11" t="s">
        <v>229</v>
      </c>
      <c r="H47" s="11" t="s">
        <v>354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>
        <v>0.1</v>
      </c>
      <c r="P47" s="18"/>
      <c r="Q47" s="18"/>
      <c r="R47" s="18">
        <v>0.1</v>
      </c>
      <c r="S47" s="19"/>
      <c r="T47" s="18"/>
      <c r="U47" s="18">
        <v>0.1</v>
      </c>
      <c r="V47" s="18"/>
      <c r="W47" s="19"/>
      <c r="X47" s="22"/>
      <c r="Y47" s="22"/>
      <c r="Z47" s="22"/>
      <c r="AA47" s="20"/>
      <c r="AB47" s="22"/>
      <c r="AC47" s="20"/>
      <c r="AD47" s="22"/>
      <c r="AE47" s="20"/>
      <c r="AF47" s="22"/>
      <c r="AG47" s="22"/>
      <c r="AH47" s="22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124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342</v>
      </c>
      <c r="G48" s="11" t="s">
        <v>229</v>
      </c>
      <c r="H48" s="11" t="s">
        <v>354</v>
      </c>
      <c r="I48" s="11">
        <v>3</v>
      </c>
      <c r="J48" s="11">
        <f>IFERROR(AVERAGEIF(Table1[[#This Row],[Autumn Week 1]:[Spring Exams]],"&gt;0",Table1[[#This Row],[Autumn Week 1]:[Spring Exams]])*4*Table1[[#This Row],[Credits]],0)</f>
        <v>8.0000000000000018</v>
      </c>
      <c r="K48" s="11">
        <v>6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2">
        <v>0.1</v>
      </c>
      <c r="AA48" s="20"/>
      <c r="AB48" s="22"/>
      <c r="AC48" s="20">
        <v>0.1</v>
      </c>
      <c r="AD48" s="22"/>
      <c r="AE48" s="20"/>
      <c r="AF48" s="22">
        <v>0.1</v>
      </c>
      <c r="AG48" s="20"/>
      <c r="AH48" s="20"/>
      <c r="AI48" s="20"/>
      <c r="AJ48" s="20"/>
      <c r="AK48" s="27">
        <f>SUMIF(Table1[[#This Row],[Autumn Week 1]:[Spring Week 12]],"&gt;0",Table1[[#This Row],[Autumn Week 1]:[Spring Week 12]])</f>
        <v>0.30000000000000004</v>
      </c>
      <c r="AL48" s="27">
        <f>IF(Table1[[#This Row],[Hours]]&gt;0,Table1[[#This Row],[Hours]],Table1[[#This Row],[Nominal Hours]])*COUNTIF(Table1[[#This Row],[Autumn Week 1]:[Spring Week 12]],"&gt;0")</f>
        <v>18</v>
      </c>
    </row>
    <row r="49" spans="1:38">
      <c r="A49" s="4" t="s">
        <v>51</v>
      </c>
      <c r="B49" s="2" t="s">
        <v>50</v>
      </c>
      <c r="C49" s="11" t="s">
        <v>122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260</v>
      </c>
      <c r="G49" s="11" t="s">
        <v>229</v>
      </c>
      <c r="H49" s="11" t="s">
        <v>299</v>
      </c>
      <c r="I49" s="11">
        <v>10</v>
      </c>
      <c r="J49" s="11">
        <f>IFERROR(AVERAGEIF(Table1[[#This Row],[Autumn Week 1]:[Spring Exams]],"&gt;0",Table1[[#This Row],[Autumn Week 1]:[Spring Exams]])*4*Table1[[#This Row],[Credits]],0)</f>
        <v>4</v>
      </c>
      <c r="K49" s="11">
        <v>0.5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0.05</v>
      </c>
      <c r="AI49" s="22"/>
      <c r="AJ49" s="22"/>
      <c r="AK49" s="27">
        <f>SUMIF(Table1[[#This Row],[Autumn Week 1]:[Spring Week 12]],"&gt;0",Table1[[#This Row],[Autumn Week 1]:[Spring Week 12]])</f>
        <v>0.05</v>
      </c>
      <c r="AL49" s="27">
        <f>IF(Table1[[#This Row],[Hours]]&gt;0,Table1[[#This Row],[Hours]],Table1[[#This Row],[Nominal Hours]])*COUNTIF(Table1[[#This Row],[Autumn Week 1]:[Spring Week 12]],"&gt;0")</f>
        <v>0.5</v>
      </c>
    </row>
    <row r="50" spans="1:38">
      <c r="A50" s="4" t="s">
        <v>51</v>
      </c>
      <c r="B50" s="2" t="s">
        <v>50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205</v>
      </c>
      <c r="G50" s="11" t="s">
        <v>229</v>
      </c>
      <c r="H50" s="11" t="s">
        <v>299</v>
      </c>
      <c r="I50" s="11">
        <v>4</v>
      </c>
      <c r="J50" s="11">
        <f>IFERROR(AVERAGEIF(Table1[[#This Row],[Autumn Week 1]:[Spring Exams]],"&gt;0",Table1[[#This Row],[Autumn Week 1]:[Spring Exams]])*4*Table1[[#This Row],[Credits]],0)</f>
        <v>24</v>
      </c>
      <c r="K50" s="11">
        <v>15</v>
      </c>
      <c r="L50" s="18"/>
      <c r="M50" s="18"/>
      <c r="N50" s="18"/>
      <c r="O50" s="19"/>
      <c r="P50" s="18"/>
      <c r="Q50" s="18"/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>
        <v>0.3</v>
      </c>
      <c r="AI50" s="20"/>
      <c r="AJ50" s="20"/>
      <c r="AK50" s="27">
        <f>SUMIF(Table1[[#This Row],[Autumn Week 1]:[Spring Week 12]],"&gt;0",Table1[[#This Row],[Autumn Week 1]:[Spring Week 12]])</f>
        <v>0.3</v>
      </c>
      <c r="AL50" s="27">
        <f>IF(Table1[[#This Row],[Hours]]&gt;0,Table1[[#This Row],[Hours]],Table1[[#This Row],[Nominal Hours]])*COUNTIF(Table1[[#This Row],[Autumn Week 1]:[Spring Week 12]],"&gt;0")</f>
        <v>15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340</v>
      </c>
      <c r="G51" s="11" t="s">
        <v>220</v>
      </c>
      <c r="H51" s="11" t="s">
        <v>355</v>
      </c>
      <c r="I51" s="11">
        <v>1</v>
      </c>
      <c r="J51" s="11">
        <f>IFERROR(AVERAGEIF(Table1[[#This Row],[Autumn Week 1]:[Spring Exams]],"&gt;0",Table1[[#This Row],[Autumn Week 1]:[Spring Exams]])*4*Table1[[#This Row],[Credits]],0)</f>
        <v>4.0000000000000009</v>
      </c>
      <c r="K51" s="11">
        <v>0.5</v>
      </c>
      <c r="L51" s="18">
        <v>0.05</v>
      </c>
      <c r="M51" s="18">
        <v>0.05</v>
      </c>
      <c r="N51" s="18">
        <v>0.05</v>
      </c>
      <c r="O51" s="18">
        <v>0.05</v>
      </c>
      <c r="P51" s="18">
        <v>0.05</v>
      </c>
      <c r="Q51" s="18">
        <v>0.05</v>
      </c>
      <c r="R51" s="18">
        <v>0.05</v>
      </c>
      <c r="S51" s="18">
        <v>0.05</v>
      </c>
      <c r="T51" s="18">
        <v>0.05</v>
      </c>
      <c r="U51" s="18">
        <v>0.05</v>
      </c>
      <c r="V51" s="18"/>
      <c r="W51" s="19"/>
      <c r="X51" s="20">
        <v>0.05</v>
      </c>
      <c r="Y51" s="20">
        <v>0.05</v>
      </c>
      <c r="Z51" s="20">
        <v>0.05</v>
      </c>
      <c r="AA51" s="20">
        <v>0.05</v>
      </c>
      <c r="AB51" s="20">
        <v>0.05</v>
      </c>
      <c r="AC51" s="20">
        <v>0.05</v>
      </c>
      <c r="AD51" s="20">
        <v>0.05</v>
      </c>
      <c r="AE51" s="20">
        <v>0.05</v>
      </c>
      <c r="AF51" s="20">
        <v>0.05</v>
      </c>
      <c r="AG51" s="20">
        <v>0.05</v>
      </c>
      <c r="AH51" s="20"/>
      <c r="AI51" s="20"/>
      <c r="AJ51" s="20"/>
      <c r="AK51" s="27">
        <f>SUMIF(Table1[[#This Row],[Autumn Week 1]:[Spring Week 12]],"&gt;0",Table1[[#This Row],[Autumn Week 1]:[Spring Week 12]])</f>
        <v>1.0000000000000002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53</v>
      </c>
      <c r="B52" s="2" t="s">
        <v>52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262</v>
      </c>
      <c r="G52" s="11" t="s">
        <v>229</v>
      </c>
      <c r="H52" s="11" t="s">
        <v>355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8</v>
      </c>
      <c r="K52" s="11">
        <v>6</v>
      </c>
      <c r="L52" s="18"/>
      <c r="M52" s="18"/>
      <c r="N52" s="18"/>
      <c r="O52" s="19">
        <v>0.1</v>
      </c>
      <c r="P52" s="18"/>
      <c r="Q52" s="18"/>
      <c r="R52" s="18"/>
      <c r="S52" s="19"/>
      <c r="T52" s="18"/>
      <c r="U52" s="18"/>
      <c r="V52" s="18">
        <v>0.1</v>
      </c>
      <c r="W52" s="19"/>
      <c r="X52" s="22"/>
      <c r="Y52" s="22"/>
      <c r="Z52" s="22">
        <v>0.1</v>
      </c>
      <c r="AA52" s="22"/>
      <c r="AB52" s="22">
        <v>0.1</v>
      </c>
      <c r="AC52" s="22"/>
      <c r="AD52" s="22"/>
      <c r="AE52" s="22"/>
      <c r="AF52" s="22"/>
      <c r="AG52" s="22"/>
      <c r="AH52" s="22"/>
      <c r="AI52" s="20"/>
      <c r="AJ52" s="20"/>
      <c r="AK52" s="27">
        <f>SUMIF(Table1[[#This Row],[Autumn Week 1]:[Spring Week 12]],"&gt;0",Table1[[#This Row],[Autumn Week 1]:[Spring Week 12]])</f>
        <v>0.4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204</v>
      </c>
      <c r="G53" s="11" t="s">
        <v>229</v>
      </c>
      <c r="H53" s="11" t="s">
        <v>355</v>
      </c>
      <c r="I53" s="11">
        <v>2</v>
      </c>
      <c r="J53" s="11">
        <f>IFERROR(AVERAGEIF(Table1[[#This Row],[Autumn Week 1]:[Spring Exams]],"&gt;0",Table1[[#This Row],[Autumn Week 1]:[Spring Exams]])*4*Table1[[#This Row],[Credits]],0)</f>
        <v>4</v>
      </c>
      <c r="K53" s="11">
        <v>3</v>
      </c>
      <c r="L53" s="18"/>
      <c r="M53" s="18"/>
      <c r="N53" s="18"/>
      <c r="O53" s="19"/>
      <c r="P53" s="18"/>
      <c r="Q53" s="18">
        <v>0.05</v>
      </c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0.05</v>
      </c>
      <c r="AL53" s="27">
        <f>IF(Table1[[#This Row],[Hours]]&gt;0,Table1[[#This Row],[Hours]],Table1[[#This Row],[Nominal Hours]])*COUNTIF(Table1[[#This Row],[Autumn Week 1]:[Spring Week 12]],"&gt;0")</f>
        <v>3</v>
      </c>
    </row>
    <row r="54" spans="1:38">
      <c r="A54" s="4" t="s">
        <v>53</v>
      </c>
      <c r="B54" s="2" t="s">
        <v>52</v>
      </c>
      <c r="C54" s="11" t="s">
        <v>5</v>
      </c>
      <c r="D54" s="29">
        <f>INDEX(Table2[CA weight],MATCH(Table1[[#This Row],[Module Code]],Table2[Module Code],0))</f>
        <v>100</v>
      </c>
      <c r="E54" s="29">
        <f>INDEX(Table2[Credits],MATCH(Table1[[#This Row],[Module Code]],Table2[Module Code],0))</f>
        <v>20</v>
      </c>
      <c r="F54" s="11" t="s">
        <v>203</v>
      </c>
      <c r="G54" s="11" t="s">
        <v>229</v>
      </c>
      <c r="H54" s="11" t="s">
        <v>299</v>
      </c>
      <c r="I54" s="11">
        <v>3</v>
      </c>
      <c r="J54" s="11">
        <f>IFERROR(AVERAGEIF(Table1[[#This Row],[Autumn Week 1]:[Spring Exams]],"&gt;0",Table1[[#This Row],[Autumn Week 1]:[Spring Exams]])*4*Table1[[#This Row],[Credits]],0)</f>
        <v>16</v>
      </c>
      <c r="K54" s="11">
        <v>10</v>
      </c>
      <c r="L54" s="18"/>
      <c r="M54" s="18"/>
      <c r="N54" s="18"/>
      <c r="O54" s="19"/>
      <c r="P54" s="18"/>
      <c r="Q54" s="18"/>
      <c r="R54" s="18"/>
      <c r="S54" s="19"/>
      <c r="T54" s="18">
        <v>0.2</v>
      </c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0.2</v>
      </c>
      <c r="AL54" s="27">
        <f>IF(Table1[[#This Row],[Hours]]&gt;0,Table1[[#This Row],[Hours]],Table1[[#This Row],[Nominal Hours]])*COUNTIF(Table1[[#This Row],[Autumn Week 1]:[Spring Week 12]],"&gt;0")</f>
        <v>10</v>
      </c>
    </row>
    <row r="55" spans="1:38">
      <c r="A55" s="49" t="s">
        <v>53</v>
      </c>
      <c r="B55" s="50" t="s">
        <v>52</v>
      </c>
      <c r="C55" s="51" t="s">
        <v>5</v>
      </c>
      <c r="D55" s="52">
        <f>INDEX(Table2[CA weight],MATCH(Table1[[#This Row],[Module Code]],Table2[Module Code],0))</f>
        <v>100</v>
      </c>
      <c r="E55" s="52">
        <f>INDEX(Table2[Credits],MATCH(Table1[[#This Row],[Module Code]],Table2[Module Code],0))</f>
        <v>20</v>
      </c>
      <c r="F55" s="51" t="s">
        <v>260</v>
      </c>
      <c r="G55" s="51" t="s">
        <v>229</v>
      </c>
      <c r="H55" s="51" t="s">
        <v>299</v>
      </c>
      <c r="I55" s="51">
        <v>10</v>
      </c>
      <c r="J55" s="51">
        <f>IFERROR(AVERAGEIF(Table1[[#This Row],[Autumn Week 1]:[Spring Exams]],"&gt;0",Table1[[#This Row],[Autumn Week 1]:[Spring Exams]])*4*Table1[[#This Row],[Credits]],0)</f>
        <v>4</v>
      </c>
      <c r="K55" s="51">
        <v>0.5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>
        <v>0.05</v>
      </c>
      <c r="AI55" s="20"/>
      <c r="AJ55" s="20"/>
      <c r="AK55" s="47">
        <f>SUMIF(Table1[[#This Row],[Autumn Week 1]:[Spring Week 12]],"&gt;0",Table1[[#This Row],[Autumn Week 1]:[Spring Week 12]])</f>
        <v>0.05</v>
      </c>
      <c r="AL55" s="47">
        <f>IF(Table1[[#This Row],[Hours]]&gt;0,Table1[[#This Row],[Hours]],Table1[[#This Row],[Nominal Hours]])*COUNTIF(Table1[[#This Row],[Autumn Week 1]:[Spring Week 12]],"&gt;0")</f>
        <v>0.5</v>
      </c>
    </row>
    <row r="56" spans="1:38">
      <c r="A56" s="4" t="s">
        <v>53</v>
      </c>
      <c r="B56" s="2" t="s">
        <v>52</v>
      </c>
      <c r="C56" s="11" t="s">
        <v>121</v>
      </c>
      <c r="D56" s="29">
        <f>INDEX(Table2[CA weight],MATCH(Table1[[#This Row],[Module Code]],Table2[Module Code],0))</f>
        <v>100</v>
      </c>
      <c r="E56" s="29">
        <f>INDEX(Table2[Credits],MATCH(Table1[[#This Row],[Module Code]],Table2[Module Code],0))</f>
        <v>20</v>
      </c>
      <c r="F56" s="11" t="s">
        <v>343</v>
      </c>
      <c r="G56" s="11" t="s">
        <v>229</v>
      </c>
      <c r="H56" s="11" t="s">
        <v>299</v>
      </c>
      <c r="I56" s="11">
        <v>6</v>
      </c>
      <c r="J56" s="11">
        <f>IFERROR(AVERAGEIF(Table1[[#This Row],[Autumn Week 1]:[Spring Exams]],"&gt;0",Table1[[#This Row],[Autumn Week 1]:[Spring Exams]])*4*Table1[[#This Row],[Credits]],0)</f>
        <v>24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>
        <v>0.3</v>
      </c>
      <c r="AI56" s="20"/>
      <c r="AJ56" s="20"/>
      <c r="AK56" s="27">
        <f>SUMIF(Table1[[#This Row],[Autumn Week 1]:[Spring Week 12]],"&gt;0",Table1[[#This Row],[Autumn Week 1]:[Spring Week 12]])</f>
        <v>0.3</v>
      </c>
      <c r="AL56" s="27">
        <f>IF(Table1[[#This Row],[Hours]]&gt;0,Table1[[#This Row],[Hours]],Table1[[#This Row],[Nominal Hours]])*COUNTIF(Table1[[#This Row],[Autumn Week 1]:[Spring Week 12]],"&gt;0")</f>
        <v>24</v>
      </c>
    </row>
    <row r="57" spans="1:38">
      <c r="A57" s="3" t="s">
        <v>93</v>
      </c>
      <c r="B57" s="3" t="s">
        <v>85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20</v>
      </c>
      <c r="F57" s="11" t="s">
        <v>261</v>
      </c>
      <c r="G57" s="11" t="s">
        <v>229</v>
      </c>
      <c r="H57" s="11" t="s">
        <v>299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1.6</v>
      </c>
      <c r="K57" s="11">
        <v>1</v>
      </c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0.02</v>
      </c>
      <c r="Z57" s="20"/>
      <c r="AA57" s="20">
        <v>0.02</v>
      </c>
      <c r="AB57" s="20"/>
      <c r="AC57" s="20">
        <v>0.02</v>
      </c>
      <c r="AD57" s="20"/>
      <c r="AE57" s="20"/>
      <c r="AF57" s="20">
        <v>0.02</v>
      </c>
      <c r="AG57" s="20">
        <v>0.02</v>
      </c>
      <c r="AH57" s="20"/>
      <c r="AI57" s="20"/>
      <c r="AJ57" s="20"/>
      <c r="AK57" s="27">
        <f>SUMIF(Table1[[#This Row],[Autumn Week 1]:[Spring Week 12]],"&gt;0",Table1[[#This Row],[Autumn Week 1]:[Spring Week 12]])</f>
        <v>0.1</v>
      </c>
      <c r="AL57" s="27">
        <f>IF(Table1[[#This Row],[Hours]]&gt;0,Table1[[#This Row],[Hours]],Table1[[#This Row],[Nominal Hours]])*COUNTIF(Table1[[#This Row],[Autumn Week 1]:[Spring Week 12]],"&gt;0")</f>
        <v>5</v>
      </c>
    </row>
    <row r="58" spans="1:38">
      <c r="A58" s="3" t="s">
        <v>93</v>
      </c>
      <c r="B58" s="3" t="s">
        <v>85</v>
      </c>
      <c r="C58" s="12" t="s">
        <v>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20</v>
      </c>
      <c r="F58" s="12" t="s">
        <v>206</v>
      </c>
      <c r="G58" s="11" t="s">
        <v>229</v>
      </c>
      <c r="H58" s="11" t="s">
        <v>299</v>
      </c>
      <c r="I58" s="11">
        <v>3</v>
      </c>
      <c r="J58" s="11">
        <f>IFERROR(AVERAGEIF(Table1[[#This Row],[Autumn Week 1]:[Spring Exams]],"&gt;0",Table1[[#This Row],[Autumn Week 1]:[Spring Exams]])*4*Table1[[#This Row],[Credits]],0)</f>
        <v>8</v>
      </c>
      <c r="K58" s="11">
        <v>15</v>
      </c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>
        <v>0.1</v>
      </c>
      <c r="AC58" s="20"/>
      <c r="AD58" s="20"/>
      <c r="AE58" s="20">
        <v>0.1</v>
      </c>
      <c r="AF58" s="20"/>
      <c r="AG58" s="20"/>
      <c r="AH58" s="20"/>
      <c r="AI58" s="20"/>
      <c r="AJ58" s="20"/>
      <c r="AK58" s="27">
        <f>SUMIF(Table1[[#This Row],[Autumn Week 1]:[Spring Week 12]],"&gt;0",Table1[[#This Row],[Autumn Week 1]:[Spring Week 12]])</f>
        <v>0.2</v>
      </c>
      <c r="AL58" s="27">
        <f>IF(Table1[[#This Row],[Hours]]&gt;0,Table1[[#This Row],[Hours]],Table1[[#This Row],[Nominal Hours]])*COUNTIF(Table1[[#This Row],[Autumn Week 1]:[Spring Week 12]],"&gt;0")</f>
        <v>30</v>
      </c>
    </row>
    <row r="59" spans="1:38">
      <c r="A59" s="3" t="s">
        <v>94</v>
      </c>
      <c r="B59" s="3" t="s">
        <v>86</v>
      </c>
      <c r="C59" s="11" t="s">
        <v>5</v>
      </c>
      <c r="D59" s="29">
        <f>INDEX(Table2[CA weight],MATCH(Table1[[#This Row],[Module Code]],Table2[Module Code],0))</f>
        <v>30</v>
      </c>
      <c r="E59" s="29">
        <f>INDEX(Table2[Credits],MATCH(Table1[[#This Row],[Module Code]],Table2[Module Code],0))</f>
        <v>10</v>
      </c>
      <c r="F59" s="11" t="s">
        <v>206</v>
      </c>
      <c r="G59" s="11" t="s">
        <v>229</v>
      </c>
      <c r="H59" s="11" t="s">
        <v>299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4.0000000000000009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>
        <v>0.1</v>
      </c>
      <c r="AB59" s="20"/>
      <c r="AC59" s="20">
        <v>-0.1</v>
      </c>
      <c r="AD59" s="20">
        <v>0.1</v>
      </c>
      <c r="AE59" s="20"/>
      <c r="AF59" s="20"/>
      <c r="AG59" s="20">
        <v>0.1</v>
      </c>
      <c r="AH59" s="20"/>
      <c r="AI59" s="20"/>
      <c r="AJ59" s="20"/>
      <c r="AK59" s="27">
        <f>SUMIF(Table1[[#This Row],[Autumn Week 1]:[Spring Week 12]],"&gt;0",Table1[[#This Row],[Autumn Week 1]:[Spring Week 12]])</f>
        <v>0.30000000000000004</v>
      </c>
      <c r="AL59" s="27">
        <f>IF(Table1[[#This Row],[Hours]]&gt;0,Table1[[#This Row],[Hours]],Table1[[#This Row],[Nominal Hours]])*COUNTIF(Table1[[#This Row],[Autumn Week 1]:[Spring Week 12]],"&gt;0")</f>
        <v>12.000000000000004</v>
      </c>
    </row>
    <row r="60" spans="1:38" ht="28">
      <c r="A60" s="3" t="s">
        <v>186</v>
      </c>
      <c r="B60" s="3" t="s">
        <v>88</v>
      </c>
      <c r="C60" s="11" t="s">
        <v>125</v>
      </c>
      <c r="D60" s="29">
        <f>INDEX(Table2[CA weight],MATCH(Table1[[#This Row],[Module Code]],Table2[Module Code],0))</f>
        <v>30</v>
      </c>
      <c r="E60" s="29">
        <f>INDEX(Table2[Credits],MATCH(Table1[[#This Row],[Module Code]],Table2[Module Code],0))</f>
        <v>10</v>
      </c>
      <c r="F60" s="37" t="s">
        <v>289</v>
      </c>
      <c r="G60" s="11" t="s">
        <v>229</v>
      </c>
      <c r="H60" s="11" t="s">
        <v>299</v>
      </c>
      <c r="I60" s="11">
        <v>1</v>
      </c>
      <c r="J60" s="11">
        <f>IFERROR(AVERAGEIF(Table1[[#This Row],[Autumn Week 1]:[Spring Exams]],"&gt;0",Table1[[#This Row],[Autumn Week 1]:[Spring Exams]])*4*Table1[[#This Row],[Credits]],0)</f>
        <v>1.2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>
        <v>0.03</v>
      </c>
      <c r="Z60" s="20">
        <v>0.03</v>
      </c>
      <c r="AA60" s="20">
        <v>0.03</v>
      </c>
      <c r="AB60" s="20">
        <v>0.03</v>
      </c>
      <c r="AC60" s="20">
        <v>0.03</v>
      </c>
      <c r="AD60" s="20"/>
      <c r="AE60" s="20"/>
      <c r="AF60" s="20"/>
      <c r="AG60" s="20"/>
      <c r="AH60" s="20"/>
      <c r="AI60" s="20"/>
      <c r="AJ60" s="20"/>
      <c r="AK60" s="27">
        <f>SUMIF(Table1[[#This Row],[Autumn Week 1]:[Spring Week 12]],"&gt;0",Table1[[#This Row],[Autumn Week 1]:[Spring Week 12]])</f>
        <v>0.15</v>
      </c>
      <c r="AL60" s="27">
        <f>IF(Table1[[#This Row],[Hours]]&gt;0,Table1[[#This Row],[Hours]],Table1[[#This Row],[Nominal Hours]])*COUNTIF(Table1[[#This Row],[Autumn Week 1]:[Spring Week 12]],"&gt;0")</f>
        <v>6</v>
      </c>
    </row>
    <row r="61" spans="1:38" ht="28">
      <c r="A61" s="3" t="s">
        <v>186</v>
      </c>
      <c r="B61" s="3" t="s">
        <v>88</v>
      </c>
      <c r="C61" s="11" t="s">
        <v>125</v>
      </c>
      <c r="D61" s="29">
        <f>INDEX(Table2[CA weight],MATCH(Table1[[#This Row],[Module Code]],Table2[Module Code],0))</f>
        <v>30</v>
      </c>
      <c r="E61" s="29">
        <f>INDEX(Table2[Credits],MATCH(Table1[[#This Row],[Module Code]],Table2[Module Code],0))</f>
        <v>10</v>
      </c>
      <c r="F61" s="37" t="s">
        <v>290</v>
      </c>
      <c r="G61" s="11" t="s">
        <v>229</v>
      </c>
      <c r="H61" s="11" t="s">
        <v>299</v>
      </c>
      <c r="I61" s="11">
        <v>1</v>
      </c>
      <c r="J61" s="11">
        <f>IFERROR(AVERAGEIF(Table1[[#This Row],[Autumn Week 1]:[Spring Exams]],"&gt;0",Table1[[#This Row],[Autumn Week 1]:[Spring Exams]])*4*Table1[[#This Row],[Credits]],0)</f>
        <v>1.2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>
        <v>0.03</v>
      </c>
      <c r="AE61" s="20">
        <v>0.03</v>
      </c>
      <c r="AF61" s="20">
        <v>0.03</v>
      </c>
      <c r="AG61" s="20">
        <v>0.03</v>
      </c>
      <c r="AH61" s="20">
        <v>0.03</v>
      </c>
      <c r="AI61" s="20"/>
      <c r="AJ61" s="20"/>
      <c r="AK61" s="27">
        <f>SUMIF(Table1[[#This Row],[Autumn Week 1]:[Spring Week 12]],"&gt;0",Table1[[#This Row],[Autumn Week 1]:[Spring Week 12]])</f>
        <v>0.15</v>
      </c>
      <c r="AL61" s="27">
        <f>IF(Table1[[#This Row],[Hours]]&gt;0,Table1[[#This Row],[Hours]],Table1[[#This Row],[Nominal Hours]])*COUNTIF(Table1[[#This Row],[Autumn Week 1]:[Spring Week 12]],"&gt;0")</f>
        <v>6</v>
      </c>
    </row>
    <row r="62" spans="1:38">
      <c r="A62" s="3" t="s">
        <v>89</v>
      </c>
      <c r="B62" s="3" t="s">
        <v>90</v>
      </c>
      <c r="C62" s="12" t="s">
        <v>5</v>
      </c>
      <c r="D62" s="29">
        <f>INDEX(Table2[CA weight],MATCH(Table1[[#This Row],[Module Code]],Table2[Module Code],0))</f>
        <v>20</v>
      </c>
      <c r="E62" s="29">
        <f>INDEX(Table2[Credits],MATCH(Table1[[#This Row],[Module Code]],Table2[Module Code],0))</f>
        <v>10</v>
      </c>
      <c r="F62" s="12" t="s">
        <v>266</v>
      </c>
      <c r="G62" s="11" t="s">
        <v>229</v>
      </c>
      <c r="H62" s="11" t="s">
        <v>299</v>
      </c>
      <c r="I62" s="11">
        <v>4</v>
      </c>
      <c r="J62" s="11">
        <f>IFERROR(AVERAGEIF(Table1[[#This Row],[Autumn Week 1]:[Spring Exams]],"&gt;0",Table1[[#This Row],[Autumn Week 1]:[Spring Exams]])*4*Table1[[#This Row],[Credits]],0)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>
        <v>0.1</v>
      </c>
      <c r="AD62" s="20"/>
      <c r="AE62" s="20"/>
      <c r="AF62" s="20"/>
      <c r="AG62" s="20"/>
      <c r="AH62" s="20"/>
      <c r="AI62" s="20"/>
      <c r="AJ62" s="20"/>
      <c r="AK62" s="27">
        <f>SUMIF(Table1[[#This Row],[Autumn Week 1]:[Spring Week 12]],"&gt;0",Table1[[#This Row],[Autumn Week 1]:[Spring Week 12]])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89</v>
      </c>
      <c r="B63" s="3" t="s">
        <v>90</v>
      </c>
      <c r="C63" s="12" t="s">
        <v>121</v>
      </c>
      <c r="D63" s="29">
        <f>INDEX(Table2[CA weight],MATCH(Table1[[#This Row],[Module Code]],Table2[Module Code],0))</f>
        <v>20</v>
      </c>
      <c r="E63" s="29">
        <f>INDEX(Table2[Credits],MATCH(Table1[[#This Row],[Module Code]],Table2[Module Code],0))</f>
        <v>10</v>
      </c>
      <c r="F63" s="12" t="s">
        <v>208</v>
      </c>
      <c r="G63" s="11" t="s">
        <v>229</v>
      </c>
      <c r="H63" s="11" t="s">
        <v>309</v>
      </c>
      <c r="I63" s="11">
        <v>4</v>
      </c>
      <c r="J63" s="11">
        <f>IFERROR(AVERAGEIF(Table1[[#This Row],[Autumn Week 1]:[Spring Exams]],"&gt;0",Table1[[#This Row],[Autumn Week 1]:[Spring Exams]])*4*Table1[[#This Row],[Credits]],0)</f>
        <v>4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>
        <v>0.1</v>
      </c>
      <c r="AJ63" s="20"/>
      <c r="AK63" s="27">
        <f>SUMIF(Table1[[#This Row],[Autumn Week 1]:[Spring Week 12]],"&gt;0",Table1[[#This Row],[Autumn Week 1]:[Spring Week 12]])</f>
        <v>0.1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91</v>
      </c>
      <c r="B64" s="3" t="s">
        <v>92</v>
      </c>
      <c r="C64" s="11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37" t="s">
        <v>339</v>
      </c>
      <c r="G64" s="11" t="s">
        <v>229</v>
      </c>
      <c r="H64" s="11" t="s">
        <v>321</v>
      </c>
      <c r="I64" s="11">
        <v>1</v>
      </c>
      <c r="J64" s="11">
        <f>IFERROR(AVERAGEIF(Table1[[#This Row],[Autumn Week 1]:[Spring Exams]],"&gt;0",Table1[[#This Row],[Autumn Week 1]:[Spring Exams]])*4*Table1[[#This Row],[Credits]],0)</f>
        <v>3.5999999999999992</v>
      </c>
      <c r="K64" s="11">
        <v>0.5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>
        <v>0.09</v>
      </c>
      <c r="Z64" s="20">
        <v>0.09</v>
      </c>
      <c r="AA64" s="20">
        <v>0.09</v>
      </c>
      <c r="AB64" s="20">
        <v>0.09</v>
      </c>
      <c r="AC64" s="20"/>
      <c r="AD64" s="20">
        <v>0.09</v>
      </c>
      <c r="AE64" s="20">
        <v>0.09</v>
      </c>
      <c r="AF64" s="20">
        <v>0.09</v>
      </c>
      <c r="AG64" s="20">
        <v>0.09</v>
      </c>
      <c r="AH64" s="20"/>
      <c r="AI64" s="20"/>
      <c r="AJ64" s="20"/>
      <c r="AK64" s="27">
        <f>SUMIF(Table1[[#This Row],[Autumn Week 1]:[Spring Week 12]],"&gt;0",Table1[[#This Row],[Autumn Week 1]:[Spring Week 12]])</f>
        <v>0.71999999999999986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>
      <c r="A65" s="3" t="s">
        <v>91</v>
      </c>
      <c r="B65" s="3" t="s">
        <v>92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209</v>
      </c>
      <c r="G65" s="11" t="s">
        <v>229</v>
      </c>
      <c r="H65" s="11" t="s">
        <v>299</v>
      </c>
      <c r="I65" s="11">
        <v>9</v>
      </c>
      <c r="J65" s="11">
        <f>IFERROR(AVERAGEIF(Table1[[#This Row],[Autumn Week 1]:[Spring Exams]],"&gt;0",Table1[[#This Row],[Autumn Week 1]:[Spring Exams]])*4*Table1[[#This Row],[Credits]],0)</f>
        <v>5.2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0.13</v>
      </c>
      <c r="AH65" s="20"/>
      <c r="AI65" s="20"/>
      <c r="AJ65" s="20"/>
      <c r="AK65" s="27">
        <f>SUMIF(Table1[[#This Row],[Autumn Week 1]:[Spring Week 12]],"&gt;0",Table1[[#This Row],[Autumn Week 1]:[Spring Week 12]])</f>
        <v>0.13</v>
      </c>
      <c r="AL65" s="27">
        <f>IF(Table1[[#This Row],[Hours]]&gt;0,Table1[[#This Row],[Hours]],Table1[[#This Row],[Nominal Hours]])*COUNTIF(Table1[[#This Row],[Autumn Week 1]:[Spring Week 12]],"&gt;0")</f>
        <v>5.2</v>
      </c>
    </row>
    <row r="66" spans="1:38" ht="14.65" customHeight="1">
      <c r="A66" s="3" t="s">
        <v>91</v>
      </c>
      <c r="B66" s="3" t="s">
        <v>92</v>
      </c>
      <c r="C66" s="12" t="s">
        <v>5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260</v>
      </c>
      <c r="G66" s="11" t="s">
        <v>229</v>
      </c>
      <c r="H66" s="11" t="s">
        <v>299</v>
      </c>
      <c r="I66" s="11">
        <v>1</v>
      </c>
      <c r="J66" s="11">
        <f>IFERROR(AVERAGEIF(Table1[[#This Row],[Autumn Week 1]:[Spring Exams]],"&gt;0",Table1[[#This Row],[Autumn Week 1]:[Spring Exams]])*4*Table1[[#This Row],[Credits]],0)</f>
        <v>2</v>
      </c>
      <c r="K66" s="11">
        <v>1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>
        <v>0.05</v>
      </c>
      <c r="AI66" s="20"/>
      <c r="AJ66" s="20"/>
      <c r="AK66" s="27">
        <f>SUMIF(Table1[[#This Row],[Autumn Week 1]:[Spring Week 12]],"&gt;0",Table1[[#This Row],[Autumn Week 1]:[Spring Week 12]])</f>
        <v>0.05</v>
      </c>
      <c r="AL66" s="27">
        <f>IF(Table1[[#This Row],[Hours]]&gt;0,Table1[[#This Row],[Hours]],Table1[[#This Row],[Nominal Hours]])*COUNTIF(Table1[[#This Row],[Autumn Week 1]:[Spring Week 12]],"&gt;0")</f>
        <v>1</v>
      </c>
    </row>
    <row r="67" spans="1:38">
      <c r="A67" s="3" t="s">
        <v>91</v>
      </c>
      <c r="B67" s="3" t="s">
        <v>92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208</v>
      </c>
      <c r="G67" s="11" t="s">
        <v>229</v>
      </c>
      <c r="H67" s="11" t="s">
        <v>321</v>
      </c>
      <c r="I67" s="11">
        <v>9</v>
      </c>
      <c r="J67" s="11">
        <f>IFERROR(AVERAGEIF(Table1[[#This Row],[Autumn Week 1]:[Spring Exams]],"&gt;0",Table1[[#This Row],[Autumn Week 1]:[Spring Exams]])*4*Table1[[#This Row],[Credits]],0)</f>
        <v>4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</v>
      </c>
      <c r="AH67" s="20"/>
      <c r="AI67" s="20"/>
      <c r="AJ67" s="20"/>
      <c r="AK67" s="27">
        <f>SUMIF(Table1[[#This Row],[Autumn Week 1]:[Spring Week 12]],"&gt;0",Table1[[#This Row],[Autumn Week 1]:[Spring Week 12]])</f>
        <v>0.1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 ht="14.65" customHeight="1">
      <c r="A68" s="3" t="s">
        <v>95</v>
      </c>
      <c r="B68" s="3" t="s">
        <v>87</v>
      </c>
      <c r="C68" s="11" t="s">
        <v>124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37" t="s">
        <v>339</v>
      </c>
      <c r="G68" s="11" t="s">
        <v>229</v>
      </c>
      <c r="H68" s="11" t="s">
        <v>305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3.5999999999999992</v>
      </c>
      <c r="K68" s="11">
        <v>0.5</v>
      </c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>
        <v>0.09</v>
      </c>
      <c r="Z68" s="20">
        <v>0.09</v>
      </c>
      <c r="AA68" s="20">
        <v>0.09</v>
      </c>
      <c r="AB68" s="20">
        <v>0.09</v>
      </c>
      <c r="AC68" s="20"/>
      <c r="AD68" s="20">
        <v>0.09</v>
      </c>
      <c r="AE68" s="20">
        <v>0.09</v>
      </c>
      <c r="AF68" s="20">
        <v>0.09</v>
      </c>
      <c r="AG68" s="20">
        <v>0.09</v>
      </c>
      <c r="AH68" s="20"/>
      <c r="AI68" s="20"/>
      <c r="AJ68" s="20"/>
      <c r="AK68" s="27">
        <f>SUMIF(Table1[[#This Row],[Autumn Week 1]:[Spring Week 12]],"&gt;0",Table1[[#This Row],[Autumn Week 1]:[Spring Week 12]])</f>
        <v>0.71999999999999986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3" t="s">
        <v>95</v>
      </c>
      <c r="B69" s="3" t="s">
        <v>87</v>
      </c>
      <c r="C69" s="12" t="s">
        <v>121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209</v>
      </c>
      <c r="G69" s="11" t="s">
        <v>229</v>
      </c>
      <c r="H69" s="11" t="s">
        <v>299</v>
      </c>
      <c r="I69" s="11">
        <v>9</v>
      </c>
      <c r="J69" s="11">
        <f>IFERROR(AVERAGEIF(Table1[[#This Row],[Autumn Week 1]:[Spring Exams]],"&gt;0",Table1[[#This Row],[Autumn Week 1]:[Spring Exams]])*4*Table1[[#This Row],[Credits]],0)</f>
        <v>5.2</v>
      </c>
      <c r="K69" s="11"/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>
        <v>0.13</v>
      </c>
      <c r="AH69" s="20"/>
      <c r="AI69" s="20"/>
      <c r="AJ69" s="20"/>
      <c r="AK69" s="27">
        <f>SUMIF(Table1[[#This Row],[Autumn Week 1]:[Spring Week 12]],"&gt;0",Table1[[#This Row],[Autumn Week 1]:[Spring Week 12]])</f>
        <v>0.13</v>
      </c>
      <c r="AL69" s="27">
        <f>IF(Table1[[#This Row],[Hours]]&gt;0,Table1[[#This Row],[Hours]],Table1[[#This Row],[Nominal Hours]])*COUNTIF(Table1[[#This Row],[Autumn Week 1]:[Spring Week 12]],"&gt;0")</f>
        <v>5.2</v>
      </c>
    </row>
    <row r="70" spans="1:38">
      <c r="A70" s="3" t="s">
        <v>95</v>
      </c>
      <c r="B70" s="3" t="s">
        <v>87</v>
      </c>
      <c r="C70" s="12" t="s">
        <v>5</v>
      </c>
      <c r="D70" s="29">
        <f>INDEX(Table2[CA weight],MATCH(Table1[[#This Row],[Module Code]],Table2[Module Code],0))</f>
        <v>100</v>
      </c>
      <c r="E70" s="29">
        <f>INDEX(Table2[Credits],MATCH(Table1[[#This Row],[Module Code]],Table2[Module Code],0))</f>
        <v>10</v>
      </c>
      <c r="F70" s="12" t="s">
        <v>260</v>
      </c>
      <c r="G70" s="11" t="s">
        <v>229</v>
      </c>
      <c r="H70" s="11" t="s">
        <v>299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2</v>
      </c>
      <c r="K70" s="11">
        <v>1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/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>
        <v>0.05</v>
      </c>
      <c r="AI70" s="20"/>
      <c r="AJ70" s="20"/>
      <c r="AK70" s="27">
        <f>SUMIF(Table1[[#This Row],[Autumn Week 1]:[Spring Week 12]],"&gt;0",Table1[[#This Row],[Autumn Week 1]:[Spring Week 12]])</f>
        <v>0.05</v>
      </c>
      <c r="AL70" s="27">
        <f>IF(Table1[[#This Row],[Hours]]&gt;0,Table1[[#This Row],[Hours]],Table1[[#This Row],[Nominal Hours]])*COUNTIF(Table1[[#This Row],[Autumn Week 1]:[Spring Week 12]],"&gt;0")</f>
        <v>1</v>
      </c>
    </row>
    <row r="71" spans="1:38">
      <c r="A71" s="3" t="s">
        <v>95</v>
      </c>
      <c r="B71" s="3" t="s">
        <v>87</v>
      </c>
      <c r="C71" s="12" t="s">
        <v>121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2" t="s">
        <v>208</v>
      </c>
      <c r="G71" s="11" t="s">
        <v>229</v>
      </c>
      <c r="H71" s="11" t="s">
        <v>305</v>
      </c>
      <c r="I71" s="11">
        <v>9</v>
      </c>
      <c r="J71" s="11">
        <f>IFERROR(AVERAGEIF(Table1[[#This Row],[Autumn Week 1]:[Spring Exams]],"&gt;0",Table1[[#This Row],[Autumn Week 1]:[Spring Exams]])*4*Table1[[#This Row],[Credits]],0)</f>
        <v>4</v>
      </c>
      <c r="K71" s="11"/>
      <c r="L71" s="18"/>
      <c r="M71" s="18"/>
      <c r="N71" s="18"/>
      <c r="O71" s="19"/>
      <c r="P71" s="18"/>
      <c r="Q71" s="18"/>
      <c r="R71" s="18"/>
      <c r="S71" s="19"/>
      <c r="T71" s="18"/>
      <c r="U71" s="18"/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>
        <v>0.1</v>
      </c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1</v>
      </c>
      <c r="B72" s="2" t="s">
        <v>2</v>
      </c>
      <c r="C72" s="11" t="s">
        <v>125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37" t="s">
        <v>279</v>
      </c>
      <c r="G72" s="11" t="s">
        <v>220</v>
      </c>
      <c r="H72" s="11" t="s">
        <v>387</v>
      </c>
      <c r="I72" s="11">
        <v>1</v>
      </c>
      <c r="J72" s="11">
        <f>IFERROR(AVERAGEIF(Table1[[#This Row],[Autumn Week 1]:[Spring Exams]],"&gt;0",Table1[[#This Row],[Autumn Week 1]:[Spring Exams]])*4*Table1[[#This Row],[Credits]],0)</f>
        <v>0.8</v>
      </c>
      <c r="K72" s="11">
        <v>0.5</v>
      </c>
      <c r="L72" s="19"/>
      <c r="M72" s="19">
        <v>0.01</v>
      </c>
      <c r="N72" s="19">
        <v>0.01</v>
      </c>
      <c r="O72" s="19">
        <v>0.01</v>
      </c>
      <c r="P72" s="19">
        <v>0.01</v>
      </c>
      <c r="Q72" s="19">
        <v>0.01</v>
      </c>
      <c r="R72" s="19">
        <v>0.01</v>
      </c>
      <c r="S72" s="19">
        <v>0.01</v>
      </c>
      <c r="T72" s="19">
        <v>0.01</v>
      </c>
      <c r="U72" s="19">
        <v>0.01</v>
      </c>
      <c r="V72" s="18"/>
      <c r="W72" s="18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0.09</v>
      </c>
      <c r="AL72" s="27">
        <f>IF(Table1[[#This Row],[Hours]]&gt;0,Table1[[#This Row],[Hours]],Table1[[#This Row],[Nominal Hours]])*COUNTIF(Table1[[#This Row],[Autumn Week 1]:[Spring Week 12]],"&gt;0")</f>
        <v>4.5</v>
      </c>
    </row>
    <row r="73" spans="1:38" ht="28">
      <c r="A73" s="4" t="s">
        <v>1</v>
      </c>
      <c r="B73" s="2" t="s">
        <v>2</v>
      </c>
      <c r="C73" s="11" t="s">
        <v>278</v>
      </c>
      <c r="D73" s="29">
        <f>INDEX(Table2[CA weight],MATCH(Table1[[#This Row],[Module Code]],Table2[Module Code],0))</f>
        <v>20</v>
      </c>
      <c r="E73" s="29">
        <f>INDEX(Table2[Credits],MATCH(Table1[[#This Row],[Module Code]],Table2[Module Code],0))</f>
        <v>20</v>
      </c>
      <c r="F73" s="37" t="s">
        <v>294</v>
      </c>
      <c r="G73" s="11" t="s">
        <v>229</v>
      </c>
      <c r="H73" s="11" t="s">
        <v>299</v>
      </c>
      <c r="I73" s="11">
        <v>10</v>
      </c>
      <c r="J73" s="11">
        <f>IFERROR(AVERAGEIF(Table1[[#This Row],[Autumn Week 1]:[Spring Exams]],"&gt;0",Table1[[#This Row],[Autumn Week 1]:[Spring Exams]])*4*Table1[[#This Row],[Credits]],0)</f>
        <v>8</v>
      </c>
      <c r="K73" s="11">
        <v>0.5</v>
      </c>
      <c r="L73" s="18"/>
      <c r="M73" s="18"/>
      <c r="N73" s="18"/>
      <c r="O73" s="19"/>
      <c r="P73" s="18"/>
      <c r="Q73" s="18"/>
      <c r="R73" s="18"/>
      <c r="S73" s="19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1</v>
      </c>
      <c r="B74" s="2" t="s">
        <v>2</v>
      </c>
      <c r="C74" s="11" t="s">
        <v>5</v>
      </c>
      <c r="D74" s="29">
        <f>INDEX(Table2[CA weight],MATCH(Table1[[#This Row],[Module Code]],Table2[Module Code],0))</f>
        <v>20</v>
      </c>
      <c r="E74" s="29">
        <f>INDEX(Table2[Credits],MATCH(Table1[[#This Row],[Module Code]],Table2[Module Code],0))</f>
        <v>20</v>
      </c>
      <c r="F74" s="11" t="s">
        <v>206</v>
      </c>
      <c r="G74" s="11" t="s">
        <v>229</v>
      </c>
      <c r="H74" s="11" t="s">
        <v>299</v>
      </c>
      <c r="I74" s="11">
        <v>4</v>
      </c>
      <c r="J74" s="11">
        <f>IFERROR(AVERAGEIF(Table1[[#This Row],[Autumn Week 1]:[Spring Exams]],"&gt;0",Table1[[#This Row],[Autumn Week 1]:[Spring Exams]])*4*Table1[[#This Row],[Credits]],0)</f>
        <v>8</v>
      </c>
      <c r="K74" s="11"/>
      <c r="L74" s="19"/>
      <c r="M74" s="19"/>
      <c r="N74" s="19"/>
      <c r="O74" s="19"/>
      <c r="P74" s="19"/>
      <c r="Q74" s="19"/>
      <c r="R74" s="19"/>
      <c r="S74" s="19">
        <v>0.1</v>
      </c>
      <c r="T74" s="19"/>
      <c r="U74" s="18"/>
      <c r="V74" s="18"/>
      <c r="W74" s="18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0.1</v>
      </c>
      <c r="AL74" s="27">
        <f>IF(Table1[[#This Row],[Hours]]&gt;0,Table1[[#This Row],[Hours]],Table1[[#This Row],[Nominal Hours]])*COUNTIF(Table1[[#This Row],[Autumn Week 1]:[Spring Week 12]],"&gt;0")</f>
        <v>8</v>
      </c>
    </row>
    <row r="75" spans="1:38" ht="28">
      <c r="A75" s="4" t="s">
        <v>248</v>
      </c>
      <c r="B75" s="2" t="s">
        <v>236</v>
      </c>
      <c r="C75" s="11" t="s">
        <v>125</v>
      </c>
      <c r="D75" s="29">
        <f>INDEX(Table2[CA weight],MATCH(Table1[[#This Row],[Module Code]],Table2[Module Code],0))</f>
        <v>20</v>
      </c>
      <c r="E75" s="29">
        <f>INDEX(Table2[Credits],MATCH(Table1[[#This Row],[Module Code]],Table2[Module Code],0))</f>
        <v>10</v>
      </c>
      <c r="F75" s="37" t="s">
        <v>391</v>
      </c>
      <c r="G75" s="11" t="s">
        <v>229</v>
      </c>
      <c r="H75" s="11" t="s">
        <v>305</v>
      </c>
      <c r="I75" s="13">
        <v>1</v>
      </c>
      <c r="J75" s="11">
        <f>IFERROR(AVERAGEIF(Table1[[#This Row],[Autumn Week 1]:[Spring Exams]],"&gt;0",Table1[[#This Row],[Autumn Week 1]:[Spring Exams]])*4*Table1[[#This Row],[Credits]],0)</f>
        <v>0</v>
      </c>
      <c r="K75" s="11"/>
      <c r="L75" s="18"/>
      <c r="M75" s="18">
        <f>-0.3/9</f>
        <v>-3.3333333333333333E-2</v>
      </c>
      <c r="N75" s="18">
        <f t="shared" ref="N75:U75" si="0">-0.3/9</f>
        <v>-3.3333333333333333E-2</v>
      </c>
      <c r="O75" s="18">
        <f t="shared" si="0"/>
        <v>-3.3333333333333333E-2</v>
      </c>
      <c r="P75" s="18">
        <f t="shared" si="0"/>
        <v>-3.3333333333333333E-2</v>
      </c>
      <c r="Q75" s="18">
        <f t="shared" si="0"/>
        <v>-3.3333333333333333E-2</v>
      </c>
      <c r="R75" s="18">
        <f t="shared" si="0"/>
        <v>-3.3333333333333333E-2</v>
      </c>
      <c r="S75" s="18">
        <f t="shared" si="0"/>
        <v>-3.3333333333333333E-2</v>
      </c>
      <c r="T75" s="18">
        <f t="shared" si="0"/>
        <v>-3.3333333333333333E-2</v>
      </c>
      <c r="U75" s="18">
        <f t="shared" si="0"/>
        <v>-3.3333333333333333E-2</v>
      </c>
      <c r="V75" s="18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</v>
      </c>
      <c r="AL75" s="27">
        <f>IF(Table1[[#This Row],[Hours]]&gt;0,Table1[[#This Row],[Hours]],Table1[[#This Row],[Nominal Hours]])*COUNTIF(Table1[[#This Row],[Autumn Week 1]:[Spring Week 12]],"&gt;0")</f>
        <v>0</v>
      </c>
    </row>
    <row r="76" spans="1:38">
      <c r="A76" s="4" t="s">
        <v>248</v>
      </c>
      <c r="B76" s="2" t="s">
        <v>236</v>
      </c>
      <c r="C76" s="11" t="s">
        <v>125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37" t="s">
        <v>390</v>
      </c>
      <c r="G76" s="11" t="s">
        <v>229</v>
      </c>
      <c r="H76" s="11" t="s">
        <v>305</v>
      </c>
      <c r="I76" s="13">
        <v>1</v>
      </c>
      <c r="J76" s="11">
        <f>IFERROR(AVERAGEIF(Table1[[#This Row],[Autumn Week 1]:[Spring Exams]],"&gt;0",Table1[[#This Row],[Autumn Week 1]:[Spring Exams]])*4*Table1[[#This Row],[Credits]],0)</f>
        <v>1.6</v>
      </c>
      <c r="K76" s="11"/>
      <c r="L76" s="18"/>
      <c r="M76" s="18">
        <v>0.04</v>
      </c>
      <c r="N76" s="18"/>
      <c r="O76" s="18">
        <v>0.04</v>
      </c>
      <c r="P76" s="18"/>
      <c r="Q76" s="18">
        <v>0.04</v>
      </c>
      <c r="R76" s="18"/>
      <c r="S76" s="18">
        <v>0.04</v>
      </c>
      <c r="T76" s="18"/>
      <c r="U76" s="18">
        <v>0.04</v>
      </c>
      <c r="V76" s="18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8</v>
      </c>
      <c r="B77" s="2" t="s">
        <v>9</v>
      </c>
      <c r="C77" s="11" t="s">
        <v>125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295</v>
      </c>
      <c r="G77" s="11" t="s">
        <v>220</v>
      </c>
      <c r="H77" s="11" t="s">
        <v>345</v>
      </c>
      <c r="I77" s="11">
        <v>1</v>
      </c>
      <c r="J77" s="11">
        <f>IFERROR(AVERAGEIF(Table1[[#This Row],[Autumn Week 1]:[Spring Exams]],"&gt;0",Table1[[#This Row],[Autumn Week 1]:[Spring Exams]])*4*Table1[[#This Row],[Credits]],0)</f>
        <v>2.5</v>
      </c>
      <c r="K77" s="11">
        <v>0.5</v>
      </c>
      <c r="L77" s="18"/>
      <c r="M77" s="18">
        <v>2.5000000000000001E-2</v>
      </c>
      <c r="N77" s="18">
        <v>2.5000000000000001E-2</v>
      </c>
      <c r="O77" s="18">
        <v>2.5000000000000001E-2</v>
      </c>
      <c r="P77" s="18">
        <v>2.5000000000000001E-2</v>
      </c>
      <c r="Q77" s="18"/>
      <c r="R77" s="18">
        <v>0.1</v>
      </c>
      <c r="S77" s="19">
        <v>0.1</v>
      </c>
      <c r="T77" s="18">
        <v>0.1</v>
      </c>
      <c r="U77" s="18">
        <v>0.1</v>
      </c>
      <c r="V77" s="18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0.5</v>
      </c>
      <c r="AL77" s="27">
        <f>IF(Table1[[#This Row],[Hours]]&gt;0,Table1[[#This Row],[Hours]],Table1[[#This Row],[Nominal Hours]])*COUNTIF(Table1[[#This Row],[Autumn Week 1]:[Spring Week 12]],"&gt;0")</f>
        <v>4</v>
      </c>
    </row>
    <row r="78" spans="1:38">
      <c r="A78" s="4" t="s">
        <v>8</v>
      </c>
      <c r="B78" s="2" t="s">
        <v>9</v>
      </c>
      <c r="C78" s="11" t="s">
        <v>122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280</v>
      </c>
      <c r="G78" s="11" t="s">
        <v>229</v>
      </c>
      <c r="H78" s="11" t="s">
        <v>345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4</v>
      </c>
      <c r="K78" s="11">
        <v>0.5</v>
      </c>
      <c r="L78" s="18"/>
      <c r="M78" s="18"/>
      <c r="N78" s="18"/>
      <c r="O78" s="18"/>
      <c r="P78" s="18"/>
      <c r="Q78" s="18">
        <v>0.1</v>
      </c>
      <c r="R78" s="18"/>
      <c r="S78" s="18"/>
      <c r="T78" s="18"/>
      <c r="U78" s="19"/>
      <c r="V78" s="18">
        <v>0.1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1</v>
      </c>
    </row>
    <row r="79" spans="1:38">
      <c r="A79" s="4" t="s">
        <v>8</v>
      </c>
      <c r="B79" s="2" t="s">
        <v>9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315</v>
      </c>
      <c r="G79" s="11" t="s">
        <v>229</v>
      </c>
      <c r="H79" s="11" t="s">
        <v>345</v>
      </c>
      <c r="I79" s="11">
        <v>4</v>
      </c>
      <c r="J79" s="11">
        <f>IFERROR(AVERAGEIF(Table1[[#This Row],[Autumn Week 1]:[Spring Exams]],"&gt;0",Table1[[#This Row],[Autumn Week 1]:[Spring Exams]])*4*Table1[[#This Row],[Credits]],0)</f>
        <v>14</v>
      </c>
      <c r="K79" s="11"/>
      <c r="L79" s="23"/>
      <c r="M79" s="23"/>
      <c r="N79" s="23"/>
      <c r="O79" s="23"/>
      <c r="P79" s="23"/>
      <c r="Q79" s="23"/>
      <c r="R79" s="23">
        <v>0.35</v>
      </c>
      <c r="S79" s="23"/>
      <c r="T79" s="23"/>
      <c r="U79" s="23"/>
      <c r="V79" s="23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0.35</v>
      </c>
      <c r="AL79" s="27">
        <f>IF(Table1[[#This Row],[Hours]]&gt;0,Table1[[#This Row],[Hours]],Table1[[#This Row],[Nominal Hours]])*COUNTIF(Table1[[#This Row],[Autumn Week 1]:[Spring Week 12]],"&gt;0")</f>
        <v>14</v>
      </c>
    </row>
    <row r="80" spans="1:38">
      <c r="A80" s="4" t="s">
        <v>8</v>
      </c>
      <c r="B80" s="2" t="s">
        <v>9</v>
      </c>
      <c r="C80" s="11" t="s">
        <v>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317</v>
      </c>
      <c r="G80" s="11" t="s">
        <v>229</v>
      </c>
      <c r="H80" s="11" t="s">
        <v>345</v>
      </c>
      <c r="I80" s="11">
        <v>4</v>
      </c>
      <c r="J80" s="11">
        <f>IFERROR(AVERAGEIF(Table1[[#This Row],[Autumn Week 1]:[Spring Exams]],"&gt;0",Table1[[#This Row],[Autumn Week 1]:[Spring Exams]])*4*Table1[[#This Row],[Credits]],0)</f>
        <v>18</v>
      </c>
      <c r="K80" s="11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>
        <v>0.45</v>
      </c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0.45</v>
      </c>
      <c r="AL80" s="27">
        <f>IF(Table1[[#This Row],[Hours]]&gt;0,Table1[[#This Row],[Hours]],Table1[[#This Row],[Nominal Hours]])*COUNTIF(Table1[[#This Row],[Autumn Week 1]:[Spring Week 12]],"&gt;0")</f>
        <v>18</v>
      </c>
    </row>
    <row r="81" spans="1:38">
      <c r="A81" s="4" t="s">
        <v>10</v>
      </c>
      <c r="B81" s="2" t="s">
        <v>11</v>
      </c>
      <c r="C81" s="11" t="s">
        <v>5</v>
      </c>
      <c r="D81" s="29">
        <f>INDEX(Table2[CA weight],MATCH(Table1[[#This Row],[Module Code]],Table2[Module Code],0))</f>
        <v>20</v>
      </c>
      <c r="E81" s="29">
        <f>INDEX(Table2[Credits],MATCH(Table1[[#This Row],[Module Code]],Table2[Module Code],0))</f>
        <v>10</v>
      </c>
      <c r="F81" s="11" t="s">
        <v>378</v>
      </c>
      <c r="G81" s="11" t="s">
        <v>229</v>
      </c>
      <c r="H81" s="11" t="s">
        <v>299</v>
      </c>
      <c r="I81" s="11">
        <v>4</v>
      </c>
      <c r="J81" s="11">
        <f>IFERROR(AVERAGEIF(Table1[[#This Row],[Autumn Week 1]:[Spring Exams]],"&gt;0",Table1[[#This Row],[Autumn Week 1]:[Spring Exams]])*4*Table1[[#This Row],[Credits]],0)</f>
        <v>0</v>
      </c>
      <c r="K81" s="11"/>
      <c r="L81" s="18"/>
      <c r="M81" s="18"/>
      <c r="N81" s="18"/>
      <c r="O81" s="18"/>
      <c r="P81" s="18">
        <v>-0.1</v>
      </c>
      <c r="Q81" s="19"/>
      <c r="R81" s="23"/>
      <c r="S81" s="23"/>
      <c r="T81" s="23">
        <v>-0.1</v>
      </c>
      <c r="U81" s="23"/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</v>
      </c>
      <c r="AL81" s="27">
        <f>IF(Table1[[#This Row],[Hours]]&gt;0,Table1[[#This Row],[Hours]],Table1[[#This Row],[Nominal Hours]])*COUNTIF(Table1[[#This Row],[Autumn Week 1]:[Spring Week 12]],"&gt;0")</f>
        <v>0</v>
      </c>
    </row>
    <row r="82" spans="1:38">
      <c r="A82" s="4" t="s">
        <v>10</v>
      </c>
      <c r="B82" s="2" t="s">
        <v>11</v>
      </c>
      <c r="C82" s="11" t="s">
        <v>5</v>
      </c>
      <c r="D82" s="29">
        <f>INDEX(Table2[CA weight],MATCH(Table1[[#This Row],[Module Code]],Table2[Module Code],0))</f>
        <v>20</v>
      </c>
      <c r="E82" s="29">
        <f>INDEX(Table2[Credits],MATCH(Table1[[#This Row],[Module Code]],Table2[Module Code],0))</f>
        <v>10</v>
      </c>
      <c r="F82" s="11" t="s">
        <v>206</v>
      </c>
      <c r="G82" s="11" t="s">
        <v>229</v>
      </c>
      <c r="H82" s="11" t="s">
        <v>299</v>
      </c>
      <c r="I82" s="11">
        <v>2</v>
      </c>
      <c r="J82" s="11">
        <f>IFERROR(AVERAGEIF(Table1[[#This Row],[Autumn Week 1]:[Spring Exams]],"&gt;0",Table1[[#This Row],[Autumn Week 1]:[Spring Exams]])*4*Table1[[#This Row],[Credits]],0)</f>
        <v>2</v>
      </c>
      <c r="K82" s="11"/>
      <c r="L82" s="18"/>
      <c r="M82" s="18"/>
      <c r="N82" s="18"/>
      <c r="O82" s="18">
        <v>0.05</v>
      </c>
      <c r="P82" s="18"/>
      <c r="Q82" s="18">
        <v>0.05</v>
      </c>
      <c r="R82" s="18"/>
      <c r="S82" s="19"/>
      <c r="T82" s="19">
        <v>0.05</v>
      </c>
      <c r="U82" s="18"/>
      <c r="V82" s="18">
        <v>0.05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0.2</v>
      </c>
      <c r="AL82" s="27">
        <f>IF(Table1[[#This Row],[Hours]]&gt;0,Table1[[#This Row],[Hours]],Table1[[#This Row],[Nominal Hours]])*COUNTIF(Table1[[#This Row],[Autumn Week 1]:[Spring Week 12]],"&gt;0")</f>
        <v>8</v>
      </c>
    </row>
    <row r="83" spans="1:38">
      <c r="A83" s="4" t="s">
        <v>14</v>
      </c>
      <c r="B83" s="2" t="s">
        <v>13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211</v>
      </c>
      <c r="G83" s="11" t="s">
        <v>229</v>
      </c>
      <c r="H83" s="11" t="s">
        <v>305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10</v>
      </c>
      <c r="K83" s="11">
        <v>9</v>
      </c>
      <c r="L83" s="18"/>
      <c r="M83" s="18"/>
      <c r="N83" s="18"/>
      <c r="O83" s="18">
        <v>0.25</v>
      </c>
      <c r="P83" s="18">
        <v>0.25</v>
      </c>
      <c r="Q83" s="18"/>
      <c r="R83" s="18">
        <v>0.25</v>
      </c>
      <c r="S83" s="18"/>
      <c r="T83" s="24"/>
      <c r="U83" s="19"/>
      <c r="V83" s="19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0.75</v>
      </c>
      <c r="AL83" s="27">
        <f>IF(Table1[[#This Row],[Hours]]&gt;0,Table1[[#This Row],[Hours]],Table1[[#This Row],[Nominal Hours]])*COUNTIF(Table1[[#This Row],[Autumn Week 1]:[Spring Week 12]],"&gt;0")</f>
        <v>27</v>
      </c>
    </row>
    <row r="84" spans="1:38">
      <c r="A84" s="4" t="s">
        <v>14</v>
      </c>
      <c r="B84" s="2" t="s">
        <v>13</v>
      </c>
      <c r="C84" s="11" t="s">
        <v>125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261</v>
      </c>
      <c r="G84" s="11" t="s">
        <v>229</v>
      </c>
      <c r="H84" s="11" t="s">
        <v>305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4</v>
      </c>
      <c r="K84" s="11">
        <v>0.5</v>
      </c>
      <c r="L84" s="18"/>
      <c r="M84" s="18"/>
      <c r="N84" s="18"/>
      <c r="O84" s="18"/>
      <c r="P84" s="18"/>
      <c r="Q84" s="18">
        <v>0.1</v>
      </c>
      <c r="R84" s="24"/>
      <c r="S84" s="18"/>
      <c r="T84" s="24"/>
      <c r="U84" s="19"/>
      <c r="V84" s="19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0.1</v>
      </c>
      <c r="AL84" s="27">
        <f>IF(Table1[[#This Row],[Hours]]&gt;0,Table1[[#This Row],[Hours]],Table1[[#This Row],[Nominal Hours]])*COUNTIF(Table1[[#This Row],[Autumn Week 1]:[Spring Week 12]],"&gt;0")</f>
        <v>0.5</v>
      </c>
    </row>
    <row r="85" spans="1:38">
      <c r="A85" s="4" t="s">
        <v>14</v>
      </c>
      <c r="B85" s="2" t="s">
        <v>13</v>
      </c>
      <c r="C85" s="11" t="s">
        <v>121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208</v>
      </c>
      <c r="G85" s="11" t="s">
        <v>229</v>
      </c>
      <c r="H85" s="11" t="s">
        <v>345</v>
      </c>
      <c r="I85" s="11">
        <v>5</v>
      </c>
      <c r="J85" s="11">
        <f>IFERROR(AVERAGEIF(Table1[[#This Row],[Autumn Week 1]:[Spring Exams]],"&gt;0",Table1[[#This Row],[Autumn Week 1]:[Spring Exams]])*4*Table1[[#This Row],[Credits]],0)</f>
        <v>6</v>
      </c>
      <c r="K85" s="11">
        <v>15</v>
      </c>
      <c r="L85" s="23"/>
      <c r="M85" s="23"/>
      <c r="N85" s="23"/>
      <c r="O85" s="23"/>
      <c r="P85" s="23"/>
      <c r="Q85" s="23"/>
      <c r="R85" s="23"/>
      <c r="S85" s="23"/>
      <c r="T85" s="23"/>
      <c r="U85" s="23">
        <v>0.15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0.15</v>
      </c>
      <c r="AL85" s="27">
        <f>IF(Table1[[#This Row],[Hours]]&gt;0,Table1[[#This Row],[Hours]],Table1[[#This Row],[Nominal Hours]])*COUNTIF(Table1[[#This Row],[Autumn Week 1]:[Spring Week 12]],"&gt;0")</f>
        <v>15</v>
      </c>
    </row>
    <row r="86" spans="1:38">
      <c r="A86" s="4" t="s">
        <v>15</v>
      </c>
      <c r="B86" s="2" t="s">
        <v>145</v>
      </c>
      <c r="C86" s="11" t="s">
        <v>125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295</v>
      </c>
      <c r="G86" s="11" t="s">
        <v>220</v>
      </c>
      <c r="H86" s="11" t="s">
        <v>299</v>
      </c>
      <c r="I86" s="11">
        <v>1</v>
      </c>
      <c r="J86" s="11">
        <f>IFERROR(AVERAGEIF(Table1[[#This Row],[Autumn Week 1]:[Spring Exams]],"&gt;0",Table1[[#This Row],[Autumn Week 1]:[Spring Exams]])*4*Table1[[#This Row],[Credits]],0)</f>
        <v>2.125</v>
      </c>
      <c r="K86" s="11">
        <v>0.5</v>
      </c>
      <c r="L86" s="18">
        <v>2.5000000000000001E-2</v>
      </c>
      <c r="M86" s="18">
        <v>2.5000000000000001E-2</v>
      </c>
      <c r="N86" s="18">
        <v>2.5000000000000001E-2</v>
      </c>
      <c r="O86" s="18">
        <v>2.5000000000000001E-2</v>
      </c>
      <c r="P86" s="18"/>
      <c r="Q86" s="18"/>
      <c r="R86" s="18">
        <v>2.5000000000000001E-2</v>
      </c>
      <c r="S86" s="19">
        <v>0.25</v>
      </c>
      <c r="T86" s="18">
        <v>2.5000000000000001E-2</v>
      </c>
      <c r="U86" s="18">
        <v>2.5000000000000001E-2</v>
      </c>
      <c r="V86" s="18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0.42500000000000004</v>
      </c>
      <c r="AL86" s="27">
        <f>IF(Table1[[#This Row],[Hours]]&gt;0,Table1[[#This Row],[Hours]],Table1[[#This Row],[Nominal Hours]])*COUNTIF(Table1[[#This Row],[Autumn Week 1]:[Spring Week 12]],"&gt;0")</f>
        <v>4</v>
      </c>
    </row>
    <row r="87" spans="1:38">
      <c r="A87" s="4" t="s">
        <v>15</v>
      </c>
      <c r="B87" s="2" t="s">
        <v>145</v>
      </c>
      <c r="C87" s="11" t="s">
        <v>122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280</v>
      </c>
      <c r="G87" s="11" t="s">
        <v>229</v>
      </c>
      <c r="H87" s="11" t="s">
        <v>299</v>
      </c>
      <c r="I87" s="11">
        <v>4</v>
      </c>
      <c r="J87" s="11">
        <f>IFERROR(AVERAGEIF(Table1[[#This Row],[Autumn Week 1]:[Spring Exams]],"&gt;0",Table1[[#This Row],[Autumn Week 1]:[Spring Exams]])*4*Table1[[#This Row],[Credits]],0)</f>
        <v>4</v>
      </c>
      <c r="K87" s="11">
        <v>0.5</v>
      </c>
      <c r="L87" s="18"/>
      <c r="M87" s="18"/>
      <c r="N87" s="18"/>
      <c r="O87" s="19"/>
      <c r="P87" s="18">
        <v>0.1</v>
      </c>
      <c r="Q87" s="18"/>
      <c r="R87" s="18"/>
      <c r="S87" s="19"/>
      <c r="T87" s="18"/>
      <c r="U87" s="18"/>
      <c r="V87" s="18">
        <v>0.1</v>
      </c>
      <c r="W87" s="19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1</v>
      </c>
    </row>
    <row r="88" spans="1:38">
      <c r="A88" s="4" t="s">
        <v>15</v>
      </c>
      <c r="B88" s="2" t="s">
        <v>145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315</v>
      </c>
      <c r="G88" s="11" t="s">
        <v>229</v>
      </c>
      <c r="H88" s="11" t="s">
        <v>299</v>
      </c>
      <c r="I88" s="11">
        <v>4</v>
      </c>
      <c r="J88" s="11">
        <f>IFERROR(AVERAGEIF(Table1[[#This Row],[Autumn Week 1]:[Spring Exams]],"&gt;0",Table1[[#This Row],[Autumn Week 1]:[Spring Exams]])*4*Table1[[#This Row],[Credits]],0)</f>
        <v>14</v>
      </c>
      <c r="K88" s="11"/>
      <c r="L88" s="23"/>
      <c r="M88" s="23"/>
      <c r="N88" s="23"/>
      <c r="O88" s="23"/>
      <c r="P88" s="23"/>
      <c r="Q88" s="23">
        <v>0.35</v>
      </c>
      <c r="R88" s="23"/>
      <c r="S88" s="23"/>
      <c r="T88" s="23"/>
      <c r="U88" s="23"/>
      <c r="V88" s="23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0.35</v>
      </c>
      <c r="AL88" s="27">
        <f>IF(Table1[[#This Row],[Hours]]&gt;0,Table1[[#This Row],[Hours]],Table1[[#This Row],[Nominal Hours]])*COUNTIF(Table1[[#This Row],[Autumn Week 1]:[Spring Week 12]],"&gt;0")</f>
        <v>14</v>
      </c>
    </row>
    <row r="89" spans="1:38">
      <c r="A89" s="4" t="s">
        <v>15</v>
      </c>
      <c r="B89" s="2" t="s">
        <v>145</v>
      </c>
      <c r="C89" s="11" t="s">
        <v>5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317</v>
      </c>
      <c r="G89" s="11" t="s">
        <v>229</v>
      </c>
      <c r="H89" s="11" t="s">
        <v>299</v>
      </c>
      <c r="I89" s="11">
        <v>4</v>
      </c>
      <c r="J89" s="11">
        <f>IFERROR(AVERAGEIF(Table1[[#This Row],[Autumn Week 1]:[Spring Exams]],"&gt;0",Table1[[#This Row],[Autumn Week 1]:[Spring Exams]])*4*Table1[[#This Row],[Credits]],0)</f>
        <v>18</v>
      </c>
      <c r="K89" s="11"/>
      <c r="L89" s="23"/>
      <c r="M89" s="23"/>
      <c r="N89" s="23"/>
      <c r="O89" s="23"/>
      <c r="P89" s="23"/>
      <c r="Q89" s="23"/>
      <c r="R89" s="23"/>
      <c r="S89" s="23"/>
      <c r="T89" s="23"/>
      <c r="U89" s="23">
        <v>0.45</v>
      </c>
      <c r="V89" s="23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0.45</v>
      </c>
      <c r="AL89" s="27">
        <f>IF(Table1[[#This Row],[Hours]]&gt;0,Table1[[#This Row],[Hours]],Table1[[#This Row],[Nominal Hours]])*COUNTIF(Table1[[#This Row],[Autumn Week 1]:[Spring Week 12]],"&gt;0")</f>
        <v>18</v>
      </c>
    </row>
    <row r="90" spans="1:38" ht="28">
      <c r="A90" s="4" t="s">
        <v>16</v>
      </c>
      <c r="B90" s="2" t="s">
        <v>17</v>
      </c>
      <c r="C90" s="11" t="s">
        <v>125</v>
      </c>
      <c r="D90" s="29">
        <f>INDEX(Table2[CA weight],MATCH(Table1[[#This Row],[Module Code]],Table2[Module Code],0))</f>
        <v>30</v>
      </c>
      <c r="E90" s="29">
        <f>INDEX(Table2[Credits],MATCH(Table1[[#This Row],[Module Code]],Table2[Module Code],0))</f>
        <v>10</v>
      </c>
      <c r="F90" s="37" t="s">
        <v>284</v>
      </c>
      <c r="G90" s="11" t="s">
        <v>229</v>
      </c>
      <c r="H90" s="11" t="s">
        <v>299</v>
      </c>
      <c r="I90" s="13">
        <v>1</v>
      </c>
      <c r="J90" s="11">
        <f>IFERROR(AVERAGEIF(Table1[[#This Row],[Autumn Week 1]:[Spring Exams]],"&gt;0",Table1[[#This Row],[Autumn Week 1]:[Spring Exams]])*4*Table1[[#This Row],[Credits]],0)</f>
        <v>0.39999999999999991</v>
      </c>
      <c r="K90" s="11">
        <v>0.5</v>
      </c>
      <c r="L90" s="25"/>
      <c r="M90" s="26">
        <v>0.01</v>
      </c>
      <c r="N90" s="26">
        <v>0.01</v>
      </c>
      <c r="O90" s="26">
        <v>0.01</v>
      </c>
      <c r="P90" s="26">
        <v>0.01</v>
      </c>
      <c r="Q90" s="26">
        <v>0.01</v>
      </c>
      <c r="R90" s="26">
        <v>0.01</v>
      </c>
      <c r="S90" s="26">
        <v>0.01</v>
      </c>
      <c r="T90" s="26">
        <v>0.01</v>
      </c>
      <c r="U90" s="26">
        <v>0.01</v>
      </c>
      <c r="V90" s="26">
        <v>0.01</v>
      </c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9.9999999999999992E-2</v>
      </c>
      <c r="AL90" s="27">
        <f>IF(Table1[[#This Row],[Hours]]&gt;0,Table1[[#This Row],[Hours]],Table1[[#This Row],[Nominal Hours]])*COUNTIF(Table1[[#This Row],[Autumn Week 1]:[Spring Week 12]],"&gt;0")</f>
        <v>5</v>
      </c>
    </row>
    <row r="91" spans="1:38">
      <c r="A91" s="4" t="s">
        <v>16</v>
      </c>
      <c r="B91" s="2" t="s">
        <v>17</v>
      </c>
      <c r="C91" s="13" t="s">
        <v>5</v>
      </c>
      <c r="D91" s="30">
        <f>INDEX(Table2[CA weight],MATCH(Table1[[#This Row],[Module Code]],Table2[Module Code],0))</f>
        <v>30</v>
      </c>
      <c r="E91" s="30">
        <f>INDEX(Table2[Credits],MATCH(Table1[[#This Row],[Module Code]],Table2[Module Code],0))</f>
        <v>10</v>
      </c>
      <c r="F91" s="13" t="s">
        <v>206</v>
      </c>
      <c r="G91" s="11" t="s">
        <v>229</v>
      </c>
      <c r="H91" s="11" t="s">
        <v>299</v>
      </c>
      <c r="I91" s="13">
        <v>4</v>
      </c>
      <c r="J91" s="11">
        <f>IFERROR(AVERAGEIF(Table1[[#This Row],[Autumn Week 1]:[Spring Exams]],"&gt;0",Table1[[#This Row],[Autumn Week 1]:[Spring Exams]])*4*Table1[[#This Row],[Credits]],0)</f>
        <v>8</v>
      </c>
      <c r="K91" s="13"/>
      <c r="L91" s="25"/>
      <c r="M91" s="26"/>
      <c r="N91" s="26"/>
      <c r="O91" s="26"/>
      <c r="P91" s="26"/>
      <c r="Q91" s="26"/>
      <c r="R91" s="26">
        <v>-0.2</v>
      </c>
      <c r="S91" s="26"/>
      <c r="T91" s="26">
        <v>0.2</v>
      </c>
      <c r="U91" s="26"/>
      <c r="V91" s="26"/>
      <c r="W91" s="23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 ht="28">
      <c r="A92" s="4" t="s">
        <v>18</v>
      </c>
      <c r="B92" s="2" t="s">
        <v>19</v>
      </c>
      <c r="C92" s="11" t="s">
        <v>125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37" t="s">
        <v>389</v>
      </c>
      <c r="G92" s="11" t="s">
        <v>229</v>
      </c>
      <c r="H92" s="11" t="s">
        <v>305</v>
      </c>
      <c r="I92" s="11">
        <v>1</v>
      </c>
      <c r="J92" s="11">
        <f>IFERROR(AVERAGEIF(Table1[[#This Row],[Autumn Week 1]:[Spring Exams]],"&gt;0",Table1[[#This Row],[Autumn Week 1]:[Spring Exams]])*4*Table1[[#This Row],[Credits]],0)</f>
        <v>0</v>
      </c>
      <c r="K92" s="11"/>
      <c r="L92" s="18">
        <v>-0.03</v>
      </c>
      <c r="M92" s="18">
        <v>-0.03</v>
      </c>
      <c r="N92" s="18">
        <v>-0.03</v>
      </c>
      <c r="O92" s="18">
        <v>-0.03</v>
      </c>
      <c r="P92" s="18">
        <v>-0.03</v>
      </c>
      <c r="Q92" s="18"/>
      <c r="R92" s="18"/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</v>
      </c>
      <c r="AL92" s="27">
        <f>IF(Table1[[#This Row],[Hours]]&gt;0,Table1[[#This Row],[Hours]],Table1[[#This Row],[Nominal Hours]])*COUNTIF(Table1[[#This Row],[Autumn Week 1]:[Spring Week 12]],"&gt;0")</f>
        <v>0</v>
      </c>
    </row>
    <row r="93" spans="1:38" ht="28">
      <c r="A93" s="4" t="s">
        <v>18</v>
      </c>
      <c r="B93" s="2" t="s">
        <v>19</v>
      </c>
      <c r="C93" s="11" t="s">
        <v>125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37" t="s">
        <v>389</v>
      </c>
      <c r="G93" s="11" t="s">
        <v>229</v>
      </c>
      <c r="H93" s="11" t="s">
        <v>305</v>
      </c>
      <c r="I93" s="11">
        <v>1</v>
      </c>
      <c r="J93" s="11">
        <f>IFERROR(AVERAGEIF(Table1[[#This Row],[Autumn Week 1]:[Spring Exams]],"&gt;0",Table1[[#This Row],[Autumn Week 1]:[Spring Exams]])*4*Table1[[#This Row],[Credits]],0)</f>
        <v>0</v>
      </c>
      <c r="K93" s="11"/>
      <c r="L93" s="18"/>
      <c r="M93" s="18"/>
      <c r="N93" s="18"/>
      <c r="O93" s="19"/>
      <c r="P93" s="18"/>
      <c r="Q93" s="18">
        <v>-0.03</v>
      </c>
      <c r="R93" s="18">
        <v>-0.03</v>
      </c>
      <c r="S93" s="18">
        <v>-0.03</v>
      </c>
      <c r="T93" s="18">
        <v>-0.03</v>
      </c>
      <c r="U93" s="18">
        <v>-0.03</v>
      </c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</v>
      </c>
      <c r="AL93" s="27">
        <f>IF(Table1[[#This Row],[Hours]]&gt;0,Table1[[#This Row],[Hours]],Table1[[#This Row],[Nominal Hours]])*COUNTIF(Table1[[#This Row],[Autumn Week 1]:[Spring Week 12]],"&gt;0")</f>
        <v>0</v>
      </c>
    </row>
    <row r="94" spans="1:38">
      <c r="A94" s="4" t="s">
        <v>18</v>
      </c>
      <c r="B94" s="2" t="s">
        <v>19</v>
      </c>
      <c r="C94" s="11" t="s">
        <v>125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37" t="s">
        <v>390</v>
      </c>
      <c r="G94" s="11" t="s">
        <v>229</v>
      </c>
      <c r="H94" s="11" t="s">
        <v>305</v>
      </c>
      <c r="I94" s="11">
        <v>1</v>
      </c>
      <c r="J94" s="11">
        <f>IFERROR(AVERAGEIF(Table1[[#This Row],[Autumn Week 1]:[Spring Exams]],"&gt;0",Table1[[#This Row],[Autumn Week 1]:[Spring Exams]])*4*Table1[[#This Row],[Credits]],0)</f>
        <v>1.6</v>
      </c>
      <c r="K94" s="11"/>
      <c r="L94" s="18"/>
      <c r="M94" s="18"/>
      <c r="N94" s="18">
        <v>0.04</v>
      </c>
      <c r="O94" s="19"/>
      <c r="P94" s="18">
        <v>0.04</v>
      </c>
      <c r="Q94" s="18"/>
      <c r="R94" s="18">
        <v>0.04</v>
      </c>
      <c r="S94" s="18"/>
      <c r="T94" s="18">
        <v>0.04</v>
      </c>
      <c r="U94" s="18"/>
      <c r="V94" s="18">
        <v>0.04</v>
      </c>
      <c r="W94" s="19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0.2</v>
      </c>
      <c r="AL94" s="27">
        <f>IF(Table1[[#This Row],[Hours]]&gt;0,Table1[[#This Row],[Hours]],Table1[[#This Row],[Nominal Hours]])*COUNTIF(Table1[[#This Row],[Autumn Week 1]:[Spring Week 12]],"&gt;0")</f>
        <v>8</v>
      </c>
    </row>
    <row r="95" spans="1:38">
      <c r="A95" s="4" t="s">
        <v>24</v>
      </c>
      <c r="B95" s="2" t="s">
        <v>20</v>
      </c>
      <c r="C95" s="11" t="s">
        <v>121</v>
      </c>
      <c r="D95" s="29">
        <f>INDEX(Table2[CA weight],MATCH(Table1[[#This Row],[Module Code]],Table2[Module Code],0))</f>
        <v>100</v>
      </c>
      <c r="E95" s="29">
        <f>INDEX(Table2[Credits],MATCH(Table1[[#This Row],[Module Code]],Table2[Module Code],0))</f>
        <v>10</v>
      </c>
      <c r="F95" s="11" t="s">
        <v>367</v>
      </c>
      <c r="G95" s="11" t="s">
        <v>229</v>
      </c>
      <c r="H95" s="11" t="s">
        <v>299</v>
      </c>
      <c r="I95" s="11">
        <v>3</v>
      </c>
      <c r="J95" s="11">
        <f>IFERROR(AVERAGEIF(Table1[[#This Row],[Autumn Week 1]:[Spring Exams]],"&gt;0",Table1[[#This Row],[Autumn Week 1]:[Spring Exams]])*4*Table1[[#This Row],[Credits]],0)</f>
        <v>8</v>
      </c>
      <c r="K95" s="11"/>
      <c r="L95" s="18"/>
      <c r="M95" s="18"/>
      <c r="N95" s="18"/>
      <c r="O95" s="19">
        <v>0.2</v>
      </c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0.2</v>
      </c>
      <c r="AL95" s="27">
        <f>IF(Table1[[#This Row],[Hours]]&gt;0,Table1[[#This Row],[Hours]],Table1[[#This Row],[Nominal Hours]])*COUNTIF(Table1[[#This Row],[Autumn Week 1]:[Spring Week 12]],"&gt;0")</f>
        <v>8</v>
      </c>
    </row>
    <row r="96" spans="1:38">
      <c r="A96" s="4" t="s">
        <v>24</v>
      </c>
      <c r="B96" s="2" t="s">
        <v>20</v>
      </c>
      <c r="C96" s="11" t="s">
        <v>121</v>
      </c>
      <c r="D96" s="29">
        <f>INDEX(Table2[CA weight],MATCH(Table1[[#This Row],[Module Code]],Table2[Module Code],0))</f>
        <v>100</v>
      </c>
      <c r="E96" s="29">
        <f>INDEX(Table2[Credits],MATCH(Table1[[#This Row],[Module Code]],Table2[Module Code],0))</f>
        <v>10</v>
      </c>
      <c r="F96" s="11" t="s">
        <v>368</v>
      </c>
      <c r="G96" s="11" t="s">
        <v>229</v>
      </c>
      <c r="H96" s="11" t="s">
        <v>321</v>
      </c>
      <c r="I96" s="11">
        <v>2</v>
      </c>
      <c r="J96" s="11">
        <f>IFERROR(AVERAGEIF(Table1[[#This Row],[Autumn Week 1]:[Spring Exams]],"&gt;0",Table1[[#This Row],[Autumn Week 1]:[Spring Exams]])*4*Table1[[#This Row],[Credits]],0)</f>
        <v>8</v>
      </c>
      <c r="K96" s="11"/>
      <c r="L96" s="18"/>
      <c r="M96" s="18"/>
      <c r="N96" s="18"/>
      <c r="O96" s="19"/>
      <c r="P96" s="18"/>
      <c r="Q96" s="18"/>
      <c r="R96" s="18">
        <v>0.2</v>
      </c>
      <c r="S96" s="19"/>
      <c r="T96" s="18"/>
      <c r="U96" s="18"/>
      <c r="V96" s="18"/>
      <c r="W96" s="19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0.2</v>
      </c>
      <c r="AL96" s="27">
        <f>IF(Table1[[#This Row],[Hours]]&gt;0,Table1[[#This Row],[Hours]],Table1[[#This Row],[Nominal Hours]])*COUNTIF(Table1[[#This Row],[Autumn Week 1]:[Spring Week 12]],"&gt;0")</f>
        <v>8</v>
      </c>
    </row>
    <row r="97" spans="1:38">
      <c r="A97" s="4" t="s">
        <v>24</v>
      </c>
      <c r="B97" s="2" t="s">
        <v>20</v>
      </c>
      <c r="C97" s="11" t="s">
        <v>5</v>
      </c>
      <c r="D97" s="29">
        <f>INDEX(Table2[CA weight],MATCH(Table1[[#This Row],[Module Code]],Table2[Module Code],0))</f>
        <v>100</v>
      </c>
      <c r="E97" s="29">
        <f>INDEX(Table2[Credits],MATCH(Table1[[#This Row],[Module Code]],Table2[Module Code],0))</f>
        <v>10</v>
      </c>
      <c r="F97" s="11" t="s">
        <v>369</v>
      </c>
      <c r="G97" s="11" t="s">
        <v>229</v>
      </c>
      <c r="H97" s="11" t="s">
        <v>321</v>
      </c>
      <c r="I97" s="11">
        <v>4</v>
      </c>
      <c r="J97" s="11">
        <f>IFERROR(AVERAGEIF(Table1[[#This Row],[Autumn Week 1]:[Spring Exams]],"&gt;0",Table1[[#This Row],[Autumn Week 1]:[Spring Exams]])*4*Table1[[#This Row],[Credits]],0)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>
        <v>0.2</v>
      </c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4" t="s">
        <v>24</v>
      </c>
      <c r="B98" s="2" t="s">
        <v>20</v>
      </c>
      <c r="C98" s="11" t="s">
        <v>122</v>
      </c>
      <c r="D98" s="29">
        <f>INDEX(Table2[CA weight],MATCH(Table1[[#This Row],[Module Code]],Table2[Module Code],0))</f>
        <v>100</v>
      </c>
      <c r="E98" s="29">
        <f>INDEX(Table2[Credits],MATCH(Table1[[#This Row],[Module Code]],Table2[Module Code],0))</f>
        <v>10</v>
      </c>
      <c r="F98" s="11" t="s">
        <v>370</v>
      </c>
      <c r="G98" s="11" t="s">
        <v>229</v>
      </c>
      <c r="H98" s="11" t="s">
        <v>299</v>
      </c>
      <c r="I98" s="11">
        <v>11</v>
      </c>
      <c r="J98" s="11">
        <f>IFERROR(AVERAGEIF(Table1[[#This Row],[Autumn Week 1]:[Spring Exams]],"&gt;0",Table1[[#This Row],[Autumn Week 1]:[Spring Exams]])*4*Table1[[#This Row],[Credits]],0)</f>
        <v>16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>
        <v>0.4</v>
      </c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7">
        <f>SUMIF(Table1[[#This Row],[Autumn Week 1]:[Spring Week 12]],"&gt;0",Table1[[#This Row],[Autumn Week 1]:[Spring Week 12]])</f>
        <v>0.4</v>
      </c>
      <c r="AL98" s="27">
        <f>IF(Table1[[#This Row],[Hours]]&gt;0,Table1[[#This Row],[Hours]],Table1[[#This Row],[Nominal Hours]])*COUNTIF(Table1[[#This Row],[Autumn Week 1]:[Spring Week 12]],"&gt;0")</f>
        <v>16</v>
      </c>
    </row>
    <row r="99" spans="1:38">
      <c r="A99" s="8" t="s">
        <v>21</v>
      </c>
      <c r="B99" s="2" t="s">
        <v>22</v>
      </c>
      <c r="C99" s="11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1" t="s">
        <v>208</v>
      </c>
      <c r="G99" s="11" t="s">
        <v>229</v>
      </c>
      <c r="H99" s="11" t="s">
        <v>299</v>
      </c>
      <c r="I99" s="11">
        <v>4</v>
      </c>
      <c r="J99" s="11">
        <f>IFERROR(AVERAGEIF(Table1[[#This Row],[Autumn Week 1]:[Spring Exams]],"&gt;0",Table1[[#This Row],[Autumn Week 1]:[Spring Exams]])*4*Table1[[#This Row],[Credits]],0)</f>
        <v>4</v>
      </c>
      <c r="K99" s="11"/>
      <c r="L99" s="18"/>
      <c r="M99" s="18"/>
      <c r="N99" s="18"/>
      <c r="O99" s="18"/>
      <c r="P99" s="18"/>
      <c r="Q99" s="18"/>
      <c r="R99" s="18">
        <v>0.1</v>
      </c>
      <c r="S99" s="18"/>
      <c r="T99" s="18"/>
      <c r="U99" s="18"/>
      <c r="V99" s="18"/>
      <c r="W99" s="23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7">
        <f>SUMIF(Table1[[#This Row],[Autumn Week 1]:[Spring Week 12]],"&gt;0",Table1[[#This Row],[Autumn Week 1]:[Spring Week 12]])</f>
        <v>0.1</v>
      </c>
      <c r="AL99" s="27">
        <f>IF(Table1[[#This Row],[Hours]]&gt;0,Table1[[#This Row],[Hours]],Table1[[#This Row],[Nominal Hours]])*COUNTIF(Table1[[#This Row],[Autumn Week 1]:[Spring Week 12]],"&gt;0")</f>
        <v>4</v>
      </c>
    </row>
    <row r="100" spans="1:38">
      <c r="A100" s="8" t="s">
        <v>21</v>
      </c>
      <c r="B100" s="2" t="s">
        <v>22</v>
      </c>
      <c r="C100" s="11"/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1" t="s">
        <v>206</v>
      </c>
      <c r="G100" s="11" t="s">
        <v>229</v>
      </c>
      <c r="H100" s="11" t="s">
        <v>299</v>
      </c>
      <c r="I100" s="11">
        <v>4</v>
      </c>
      <c r="J100" s="11">
        <f>IFERROR(AVERAGEIF(Table1[[#This Row],[Autumn Week 1]:[Spring Exams]],"&gt;0",Table1[[#This Row],[Autumn Week 1]:[Spring Exams]])*4*Table1[[#This Row],[Credits]],0)</f>
        <v>4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>
        <v>0.1</v>
      </c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0.1</v>
      </c>
      <c r="AL100" s="27">
        <f>IF(Table1[[#This Row],[Hours]]&gt;0,Table1[[#This Row],[Hours]],Table1[[#This Row],[Nominal Hours]])*COUNTIF(Table1[[#This Row],[Autumn Week 1]:[Spring Week 12]],"&gt;0")</f>
        <v>4</v>
      </c>
    </row>
    <row r="101" spans="1:38">
      <c r="A101" s="3" t="s">
        <v>106</v>
      </c>
      <c r="B101" s="3" t="s">
        <v>96</v>
      </c>
      <c r="C101" s="11" t="s">
        <v>125</v>
      </c>
      <c r="D101" s="29">
        <f>INDEX(Table2[CA weight],MATCH(Table1[[#This Row],[Module Code]],Table2[Module Code],0))</f>
        <v>30</v>
      </c>
      <c r="E101" s="29">
        <f>INDEX(Table2[Credits],MATCH(Table1[[#This Row],[Module Code]],Table2[Module Code],0))</f>
        <v>20</v>
      </c>
      <c r="F101" s="11" t="s">
        <v>295</v>
      </c>
      <c r="G101" s="11" t="s">
        <v>220</v>
      </c>
      <c r="H101" s="11" t="s">
        <v>387</v>
      </c>
      <c r="I101" s="11">
        <v>1</v>
      </c>
      <c r="J101" s="11">
        <f>IFERROR(AVERAGEIF(Table1[[#This Row],[Autumn Week 1]:[Spring Exams]],"&gt;0",Table1[[#This Row],[Autumn Week 1]:[Spring Exams]])*4*Table1[[#This Row],[Credits]],0)</f>
        <v>0.56000000000000005</v>
      </c>
      <c r="K101" s="11">
        <v>0.5</v>
      </c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>
        <v>7.0000000000000001E-3</v>
      </c>
      <c r="Y101" s="20">
        <v>7.0000000000000001E-3</v>
      </c>
      <c r="Z101" s="20">
        <v>7.0000000000000001E-3</v>
      </c>
      <c r="AA101" s="20">
        <v>7.0000000000000001E-3</v>
      </c>
      <c r="AB101" s="20">
        <v>7.0000000000000001E-3</v>
      </c>
      <c r="AC101" s="20">
        <v>7.0000000000000001E-3</v>
      </c>
      <c r="AD101" s="20">
        <v>7.0000000000000001E-3</v>
      </c>
      <c r="AE101" s="20">
        <v>7.0000000000000001E-3</v>
      </c>
      <c r="AF101" s="20">
        <v>7.0000000000000001E-3</v>
      </c>
      <c r="AG101" s="20">
        <v>7.0000000000000001E-3</v>
      </c>
      <c r="AH101" s="20"/>
      <c r="AI101" s="20"/>
      <c r="AJ101" s="20"/>
      <c r="AK101" s="27">
        <f>SUMIF(Table1[[#This Row],[Autumn Week 1]:[Spring Week 12]],"&gt;0",Table1[[#This Row],[Autumn Week 1]:[Spring Week 12]])</f>
        <v>7.0000000000000007E-2</v>
      </c>
      <c r="AL101" s="27">
        <f>IF(Table1[[#This Row],[Hours]]&gt;0,Table1[[#This Row],[Hours]],Table1[[#This Row],[Nominal Hours]])*COUNTIF(Table1[[#This Row],[Autumn Week 1]:[Spring Week 12]],"&gt;0")</f>
        <v>5</v>
      </c>
    </row>
    <row r="102" spans="1:38" ht="28">
      <c r="A102" s="3" t="s">
        <v>106</v>
      </c>
      <c r="B102" s="3" t="s">
        <v>96</v>
      </c>
      <c r="C102" s="11" t="s">
        <v>122</v>
      </c>
      <c r="D102" s="29">
        <f>INDEX(Table2[CA weight],MATCH(Table1[[#This Row],[Module Code]],Table2[Module Code],0))</f>
        <v>30</v>
      </c>
      <c r="E102" s="29">
        <f>INDEX(Table2[Credits],MATCH(Table1[[#This Row],[Module Code]],Table2[Module Code],0))</f>
        <v>20</v>
      </c>
      <c r="F102" s="37" t="s">
        <v>282</v>
      </c>
      <c r="G102" s="11" t="s">
        <v>229</v>
      </c>
      <c r="H102" s="11" t="s">
        <v>299</v>
      </c>
      <c r="I102" s="11">
        <v>10</v>
      </c>
      <c r="J102" s="11">
        <f>IFERROR(AVERAGEIF(Table1[[#This Row],[Autumn Week 1]:[Spring Exams]],"&gt;0",Table1[[#This Row],[Autumn Week 1]:[Spring Exams]])*4*Table1[[#This Row],[Credits]],0)</f>
        <v>5.6000000000000005</v>
      </c>
      <c r="K102" s="11">
        <v>0.5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>
        <v>7.0000000000000007E-2</v>
      </c>
      <c r="AI102" s="20"/>
      <c r="AJ102" s="20"/>
      <c r="AK102" s="27">
        <f>SUMIF(Table1[[#This Row],[Autumn Week 1]:[Spring Week 12]],"&gt;0",Table1[[#This Row],[Autumn Week 1]:[Spring Week 12]])</f>
        <v>7.0000000000000007E-2</v>
      </c>
      <c r="AL102" s="27">
        <f>IF(Table1[[#This Row],[Hours]]&gt;0,Table1[[#This Row],[Hours]],Table1[[#This Row],[Nominal Hours]])*COUNTIF(Table1[[#This Row],[Autumn Week 1]:[Spring Week 12]],"&gt;0")</f>
        <v>0.5</v>
      </c>
    </row>
    <row r="103" spans="1:38">
      <c r="A103" s="3" t="s">
        <v>106</v>
      </c>
      <c r="B103" s="3" t="s">
        <v>96</v>
      </c>
      <c r="C103" s="12" t="s">
        <v>5</v>
      </c>
      <c r="D103" s="29">
        <f>INDEX(Table2[CA weight],MATCH(Table1[[#This Row],[Module Code]],Table2[Module Code],0))</f>
        <v>30</v>
      </c>
      <c r="E103" s="29">
        <f>INDEX(Table2[Credits],MATCH(Table1[[#This Row],[Module Code]],Table2[Module Code],0))</f>
        <v>20</v>
      </c>
      <c r="F103" s="12" t="s">
        <v>206</v>
      </c>
      <c r="G103" s="11" t="s">
        <v>229</v>
      </c>
      <c r="H103" s="11" t="s">
        <v>345</v>
      </c>
      <c r="I103" s="11">
        <v>3</v>
      </c>
      <c r="J103" s="11">
        <f>IFERROR(AVERAGEIF(Table1[[#This Row],[Autumn Week 1]:[Spring Exams]],"&gt;0",Table1[[#This Row],[Autumn Week 1]:[Spring Exams]])*4*Table1[[#This Row],[Credits]],0)</f>
        <v>6.1333333333333337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>
        <v>0.09</v>
      </c>
      <c r="AC103" s="20"/>
      <c r="AD103" s="20"/>
      <c r="AE103" s="20">
        <v>7.0000000000000007E-2</v>
      </c>
      <c r="AF103" s="20"/>
      <c r="AG103" s="20"/>
      <c r="AH103" s="20">
        <v>7.0000000000000007E-2</v>
      </c>
      <c r="AI103" s="20"/>
      <c r="AJ103" s="20"/>
      <c r="AK103" s="27">
        <f>SUMIF(Table1[[#This Row],[Autumn Week 1]:[Spring Week 12]],"&gt;0",Table1[[#This Row],[Autumn Week 1]:[Spring Week 12]])</f>
        <v>0.23</v>
      </c>
      <c r="AL103" s="27">
        <f>IF(Table1[[#This Row],[Hours]]&gt;0,Table1[[#This Row],[Hours]],Table1[[#This Row],[Nominal Hours]])*COUNTIF(Table1[[#This Row],[Autumn Week 1]:[Spring Week 12]],"&gt;0")</f>
        <v>18.400000000000002</v>
      </c>
    </row>
    <row r="104" spans="1:38">
      <c r="A104" s="3" t="s">
        <v>188</v>
      </c>
      <c r="B104" s="3" t="s">
        <v>97</v>
      </c>
      <c r="C104" s="12" t="s">
        <v>5</v>
      </c>
      <c r="D104" s="29">
        <f>INDEX(Table2[CA weight],MATCH(Table1[[#This Row],[Module Code]],Table2[Module Code],0))</f>
        <v>20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345</v>
      </c>
      <c r="I104" s="11">
        <v>6</v>
      </c>
      <c r="J104" s="11">
        <f>IFERROR(AVERAGEIF(Table1[[#This Row],[Autumn Week 1]:[Spring Exams]],"&gt;0",Table1[[#This Row],[Autumn Week 1]:[Spring Exams]])*4*Table1[[#This Row],[Credits]],0)</f>
        <v>8</v>
      </c>
      <c r="K104" s="11"/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>
        <v>0.2</v>
      </c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8</v>
      </c>
    </row>
    <row r="105" spans="1:38">
      <c r="A105" s="3" t="s">
        <v>108</v>
      </c>
      <c r="B105" s="3" t="s">
        <v>356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357</v>
      </c>
      <c r="G105" s="11" t="s">
        <v>229</v>
      </c>
      <c r="H105" s="11" t="s">
        <v>321</v>
      </c>
      <c r="I105" s="11">
        <v>3</v>
      </c>
      <c r="J105" s="11">
        <f>IFERROR(AVERAGEIF(Table1[[#This Row],[Autumn Week 1]:[Spring Exams]],"&gt;0",Table1[[#This Row],[Autumn Week 1]:[Spring Exams]])*4*Table1[[#This Row],[Credits]],0)</f>
        <v>1.6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>
        <v>0.04</v>
      </c>
      <c r="AC105" s="20"/>
      <c r="AD105" s="20"/>
      <c r="AE105" s="20"/>
      <c r="AF105" s="20"/>
      <c r="AG105" s="20"/>
      <c r="AH105" s="20"/>
      <c r="AI105" s="20"/>
      <c r="AJ105" s="20"/>
      <c r="AK105" s="27">
        <f>SUMIF(Table1[[#This Row],[Autumn Week 1]:[Spring Week 12]],"&gt;0",Table1[[#This Row],[Autumn Week 1]:[Spring Week 12]])</f>
        <v>0.04</v>
      </c>
      <c r="AL105" s="27">
        <f>IF(Table1[[#This Row],[Hours]]&gt;0,Table1[[#This Row],[Hours]],Table1[[#This Row],[Nominal Hours]])*COUNTIF(Table1[[#This Row],[Autumn Week 1]:[Spring Week 12]],"&gt;0")</f>
        <v>1.6</v>
      </c>
    </row>
    <row r="106" spans="1:38" ht="28">
      <c r="A106" s="3" t="s">
        <v>108</v>
      </c>
      <c r="B106" s="3" t="s">
        <v>356</v>
      </c>
      <c r="C106" s="12" t="s">
        <v>121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45" t="s">
        <v>358</v>
      </c>
      <c r="G106" s="11" t="s">
        <v>229</v>
      </c>
      <c r="H106" s="11" t="s">
        <v>321</v>
      </c>
      <c r="I106" s="11">
        <v>6</v>
      </c>
      <c r="J106" s="11">
        <f>IFERROR(AVERAGEIF(Table1[[#This Row],[Autumn Week 1]:[Spring Exams]],"&gt;0",Table1[[#This Row],[Autumn Week 1]:[Spring Exams]])*4*Table1[[#This Row],[Credits]],0)</f>
        <v>6.4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>
        <v>0.16</v>
      </c>
      <c r="AE106" s="20"/>
      <c r="AF106" s="20"/>
      <c r="AG106" s="20"/>
      <c r="AH106" s="20"/>
      <c r="AI106" s="20"/>
      <c r="AJ106" s="20"/>
      <c r="AK106" s="27">
        <f>SUMIF(Table1[[#This Row],[Autumn Week 1]:[Spring Week 12]],"&gt;0",Table1[[#This Row],[Autumn Week 1]:[Spring Week 12]])</f>
        <v>0.16</v>
      </c>
      <c r="AL106" s="27">
        <f>IF(Table1[[#This Row],[Hours]]&gt;0,Table1[[#This Row],[Hours]],Table1[[#This Row],[Nominal Hours]])*COUNTIF(Table1[[#This Row],[Autumn Week 1]:[Spring Week 12]],"&gt;0")</f>
        <v>6.4</v>
      </c>
    </row>
    <row r="107" spans="1:38">
      <c r="A107" s="3" t="s">
        <v>189</v>
      </c>
      <c r="B107" s="3" t="s">
        <v>98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345</v>
      </c>
      <c r="I107" s="11">
        <v>6</v>
      </c>
      <c r="J107" s="11">
        <f>IFERROR(AVERAGEIF(Table1[[#This Row],[Autumn Week 1]:[Spring Exams]],"&gt;0",Table1[[#This Row],[Autumn Week 1]:[Spring Exams]])*4*Table1[[#This Row],[Credits]],0)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>
        <v>0.2</v>
      </c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53" t="s">
        <v>189</v>
      </c>
      <c r="B108" s="53" t="s">
        <v>98</v>
      </c>
      <c r="C108" s="54" t="s">
        <v>121</v>
      </c>
      <c r="D108" s="52">
        <f>INDEX(Table2[CA weight],MATCH(Table1[[#This Row],[Module Code]],Table2[Module Code],0))</f>
        <v>20</v>
      </c>
      <c r="E108" s="52">
        <f>INDEX(Table2[Credits],MATCH(Table1[[#This Row],[Module Code]],Table2[Module Code],0))</f>
        <v>10</v>
      </c>
      <c r="F108" s="54" t="s">
        <v>283</v>
      </c>
      <c r="G108" s="51" t="s">
        <v>229</v>
      </c>
      <c r="H108" s="51" t="s">
        <v>299</v>
      </c>
      <c r="I108" s="51">
        <v>2</v>
      </c>
      <c r="J108" s="51">
        <f>IFERROR(AVERAGEIF(Table1[[#This Row],[Autumn Week 1]:[Spring Exams]],"&gt;0",Table1[[#This Row],[Autumn Week 1]:[Spring Exams]])*4*Table1[[#This Row],[Credits]],0)</f>
        <v>0</v>
      </c>
      <c r="K108" s="51">
        <v>15</v>
      </c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>
        <v>-0.2</v>
      </c>
      <c r="AI108" s="20"/>
      <c r="AJ108" s="20"/>
      <c r="AK108" s="27">
        <f>SUMIF(Table1[[#This Row],[Autumn Week 1]:[Spring Week 12]],"&gt;0",Table1[[#This Row],[Autumn Week 1]:[Spring Week 12]])</f>
        <v>0</v>
      </c>
      <c r="AL108" s="27">
        <f>IF(Table1[[#This Row],[Hours]]&gt;0,Table1[[#This Row],[Hours]],Table1[[#This Row],[Nominal Hours]])*COUNTIF(Table1[[#This Row],[Autumn Week 1]:[Spring Week 12]],"&gt;0")</f>
        <v>0</v>
      </c>
    </row>
    <row r="109" spans="1:38">
      <c r="A109" s="3" t="s">
        <v>109</v>
      </c>
      <c r="B109" s="3" t="s">
        <v>99</v>
      </c>
      <c r="C109" s="12" t="s">
        <v>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10</v>
      </c>
      <c r="F109" s="12" t="s">
        <v>210</v>
      </c>
      <c r="G109" s="11" t="s">
        <v>229</v>
      </c>
      <c r="H109" s="11" t="s">
        <v>299</v>
      </c>
      <c r="I109" s="11">
        <v>11</v>
      </c>
      <c r="J109" s="11">
        <f>IFERROR(AVERAGEIF(Table1[[#This Row],[Autumn Week 1]:[Spring Exams]],"&gt;0",Table1[[#This Row],[Autumn Week 1]:[Spring Exams]])*4*Table1[[#This Row],[Credits]],0)</f>
        <v>28</v>
      </c>
      <c r="K109" s="11">
        <v>30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>
        <v>0.7</v>
      </c>
      <c r="AJ109" s="20"/>
      <c r="AK109" s="27">
        <f>SUMIF(Table1[[#This Row],[Autumn Week 1]:[Spring Week 12]],"&gt;0",Table1[[#This Row],[Autumn Week 1]:[Spring Week 12]])</f>
        <v>0.7</v>
      </c>
      <c r="AL109" s="27">
        <f>IF(Table1[[#This Row],[Hours]]&gt;0,Table1[[#This Row],[Hours]],Table1[[#This Row],[Nominal Hours]])*COUNTIF(Table1[[#This Row],[Autumn Week 1]:[Spring Week 12]],"&gt;0")</f>
        <v>30</v>
      </c>
    </row>
    <row r="110" spans="1:38">
      <c r="A110" s="3" t="s">
        <v>109</v>
      </c>
      <c r="B110" s="3" t="s">
        <v>99</v>
      </c>
      <c r="C110" s="12" t="s">
        <v>121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10</v>
      </c>
      <c r="F110" s="12" t="s">
        <v>336</v>
      </c>
      <c r="G110" s="11" t="s">
        <v>229</v>
      </c>
      <c r="H110" s="11" t="s">
        <v>299</v>
      </c>
      <c r="I110" s="11">
        <v>11</v>
      </c>
      <c r="J110" s="11">
        <f>IFERROR(AVERAGEIF(Table1[[#This Row],[Autumn Week 1]:[Spring Exams]],"&gt;0",Table1[[#This Row],[Autumn Week 1]:[Spring Exams]])*4*Table1[[#This Row],[Credits]],0)</f>
        <v>8</v>
      </c>
      <c r="K110" s="11">
        <v>15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>
        <v>0.2</v>
      </c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15</v>
      </c>
    </row>
    <row r="111" spans="1:38">
      <c r="A111" s="3" t="s">
        <v>109</v>
      </c>
      <c r="B111" s="3" t="s">
        <v>99</v>
      </c>
      <c r="C111" s="12" t="s">
        <v>5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10</v>
      </c>
      <c r="F111" s="12" t="s">
        <v>260</v>
      </c>
      <c r="G111" s="11" t="s">
        <v>229</v>
      </c>
      <c r="H111" s="11" t="s">
        <v>299</v>
      </c>
      <c r="I111" s="11">
        <v>11</v>
      </c>
      <c r="J111" s="11">
        <f>IFERROR(AVERAGEIF(Table1[[#This Row],[Autumn Week 1]:[Spring Exams]],"&gt;0",Table1[[#This Row],[Autumn Week 1]:[Spring Exams]])*4*Table1[[#This Row],[Credits]],0)</f>
        <v>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>
        <v>0.1</v>
      </c>
      <c r="AJ111" s="20"/>
      <c r="AK111" s="27">
        <f>SUMIF(Table1[[#This Row],[Autumn Week 1]:[Spring Week 12]],"&gt;0",Table1[[#This Row],[Autumn Week 1]:[Spring Week 12]])</f>
        <v>0.1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3" t="s">
        <v>100</v>
      </c>
      <c r="B112" s="3" t="s">
        <v>101</v>
      </c>
      <c r="C112" s="12" t="s">
        <v>5</v>
      </c>
      <c r="D112" s="29">
        <f>INDEX(Table2[CA weight],MATCH(Table1[[#This Row],[Module Code]],Table2[Module Code],0))</f>
        <v>20</v>
      </c>
      <c r="E112" s="29">
        <f>INDEX(Table2[Credits],MATCH(Table1[[#This Row],[Module Code]],Table2[Module Code],0))</f>
        <v>10</v>
      </c>
      <c r="F112" s="12" t="s">
        <v>206</v>
      </c>
      <c r="G112" s="11" t="s">
        <v>229</v>
      </c>
      <c r="H112" s="11" t="s">
        <v>345</v>
      </c>
      <c r="I112" s="11">
        <v>6</v>
      </c>
      <c r="J112" s="11">
        <f>IFERROR(AVERAGEIF(Table1[[#This Row],[Autumn Week 1]:[Spring Exams]],"&gt;0",Table1[[#This Row],[Autumn Week 1]:[Spring Exams]])*4*Table1[[#This Row],[Credits]],0)</f>
        <v>8</v>
      </c>
      <c r="K112" s="11"/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>
        <v>0.2</v>
      </c>
      <c r="AF112" s="20"/>
      <c r="AG112" s="20"/>
      <c r="AH112" s="20"/>
      <c r="AI112" s="20"/>
      <c r="AJ112" s="20"/>
      <c r="AK112" s="27">
        <f>SUMIF(Table1[[#This Row],[Autumn Week 1]:[Spring Week 12]],"&gt;0",Table1[[#This Row],[Autumn Week 1]:[Spring Week 12]])</f>
        <v>0.2</v>
      </c>
      <c r="AL112" s="27">
        <f>IF(Table1[[#This Row],[Hours]]&gt;0,Table1[[#This Row],[Hours]],Table1[[#This Row],[Nominal Hours]])*COUNTIF(Table1[[#This Row],[Autumn Week 1]:[Spring Week 12]],"&gt;0")</f>
        <v>8</v>
      </c>
    </row>
    <row r="113" spans="1:38">
      <c r="A113" s="3" t="s">
        <v>102</v>
      </c>
      <c r="B113" s="3" t="s">
        <v>103</v>
      </c>
      <c r="C113" s="12" t="s">
        <v>5</v>
      </c>
      <c r="D113" s="29">
        <f>INDEX(Table2[CA weight],MATCH(Table1[[#This Row],[Module Code]],Table2[Module Code],0))</f>
        <v>20</v>
      </c>
      <c r="E113" s="29">
        <f>INDEX(Table2[Credits],MATCH(Table1[[#This Row],[Module Code]],Table2[Module Code],0))</f>
        <v>10</v>
      </c>
      <c r="F113" s="12" t="s">
        <v>206</v>
      </c>
      <c r="G113" s="11" t="s">
        <v>229</v>
      </c>
      <c r="H113" s="11" t="s">
        <v>299</v>
      </c>
      <c r="I113" s="11">
        <v>2</v>
      </c>
      <c r="J113" s="11">
        <f>IFERROR(AVERAGEIF(Table1[[#This Row],[Autumn Week 1]:[Spring Exams]],"&gt;0",Table1[[#This Row],[Autumn Week 1]:[Spring Exams]])*4*Table1[[#This Row],[Credits]],0)</f>
        <v>8</v>
      </c>
      <c r="K113" s="11"/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>
        <v>0.2</v>
      </c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8</v>
      </c>
    </row>
    <row r="114" spans="1:38">
      <c r="A114" s="3" t="s">
        <v>104</v>
      </c>
      <c r="B114" s="3" t="s">
        <v>105</v>
      </c>
      <c r="C114" s="12" t="s">
        <v>121</v>
      </c>
      <c r="D114" s="29">
        <f>INDEX(Table2[CA weight],MATCH(Table1[[#This Row],[Module Code]],Table2[Module Code],0))</f>
        <v>20</v>
      </c>
      <c r="E114" s="29">
        <f>INDEX(Table2[Credits],MATCH(Table1[[#This Row],[Module Code]],Table2[Module Code],0))</f>
        <v>10</v>
      </c>
      <c r="F114" s="12" t="s">
        <v>208</v>
      </c>
      <c r="G114" s="11" t="s">
        <v>229</v>
      </c>
      <c r="H114" s="11" t="s">
        <v>321</v>
      </c>
      <c r="I114" s="11">
        <v>4</v>
      </c>
      <c r="J114" s="11">
        <f>IFERROR(AVERAGEIF(Table1[[#This Row],[Autumn Week 1]:[Spring Exams]],"&gt;0",Table1[[#This Row],[Autumn Week 1]:[Spring Exams]])*4*Table1[[#This Row],[Credits]],0)</f>
        <v>8</v>
      </c>
      <c r="K114" s="11">
        <v>15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>
        <v>0.2</v>
      </c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0.2</v>
      </c>
      <c r="AL114" s="27">
        <f>IF(Table1[[#This Row],[Hours]]&gt;0,Table1[[#This Row],[Hours]],Table1[[#This Row],[Nominal Hours]])*COUNTIF(Table1[[#This Row],[Autumn Week 1]:[Spring Week 12]],"&gt;0")</f>
        <v>15</v>
      </c>
    </row>
    <row r="115" spans="1:38">
      <c r="A115" s="3" t="s">
        <v>47</v>
      </c>
      <c r="B115" s="2" t="s">
        <v>23</v>
      </c>
      <c r="C115" s="12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2" t="s">
        <v>230</v>
      </c>
      <c r="G115" s="11" t="s">
        <v>338</v>
      </c>
      <c r="H115" s="11" t="s">
        <v>360</v>
      </c>
      <c r="I115" s="11">
        <v>1</v>
      </c>
      <c r="J115" s="11">
        <f>IFERROR(AVERAGEIF(Table1[[#This Row],[Autumn Week 1]:[Spring Exams]],"&gt;0",Table1[[#This Row],[Autumn Week 1]:[Spring Exams]])*4*Table1[[#This Row],[Credits]],0)</f>
        <v>4.9999999999999982</v>
      </c>
      <c r="K115" s="11">
        <v>10</v>
      </c>
      <c r="L115" s="18">
        <f>1/24</f>
        <v>4.1666666666666664E-2</v>
      </c>
      <c r="M115" s="18">
        <v>4.1666666666666664E-2</v>
      </c>
      <c r="N115" s="18">
        <v>4.1666666666666664E-2</v>
      </c>
      <c r="O115" s="18">
        <v>4.1666666666666664E-2</v>
      </c>
      <c r="P115" s="18">
        <v>4.1666666666666664E-2</v>
      </c>
      <c r="Q115" s="18">
        <v>4.1666666666666664E-2</v>
      </c>
      <c r="R115" s="18">
        <v>4.1666666666666664E-2</v>
      </c>
      <c r="S115" s="18">
        <v>4.1666666666666664E-2</v>
      </c>
      <c r="T115" s="18">
        <v>4.1666666666666664E-2</v>
      </c>
      <c r="U115" s="18">
        <v>4.1666666666666664E-2</v>
      </c>
      <c r="V115" s="18">
        <v>4.1666666666666664E-2</v>
      </c>
      <c r="W115" s="19">
        <v>4.1666666666666664E-2</v>
      </c>
      <c r="X115" s="20">
        <v>4.1666666666666664E-2</v>
      </c>
      <c r="Y115" s="20">
        <v>4.1666666666666664E-2</v>
      </c>
      <c r="Z115" s="20">
        <v>4.1666666666666664E-2</v>
      </c>
      <c r="AA115" s="20">
        <v>4.1666666666666664E-2</v>
      </c>
      <c r="AB115" s="20">
        <v>4.1666666666666664E-2</v>
      </c>
      <c r="AC115" s="20">
        <v>4.1666666666666664E-2</v>
      </c>
      <c r="AD115" s="20">
        <v>4.1666666666666664E-2</v>
      </c>
      <c r="AE115" s="20">
        <v>4.1666666666666664E-2</v>
      </c>
      <c r="AF115" s="20">
        <v>4.1666666666666664E-2</v>
      </c>
      <c r="AG115" s="20">
        <v>4.1666666666666664E-2</v>
      </c>
      <c r="AH115" s="20">
        <v>4.1666666666666664E-2</v>
      </c>
      <c r="AI115" s="20">
        <v>4.1666666666666664E-2</v>
      </c>
      <c r="AJ115" s="20"/>
      <c r="AK115" s="27">
        <f>SUMIF(Table1[[#This Row],[Autumn Week 1]:[Spring Week 12]],"&gt;0",Table1[[#This Row],[Autumn Week 1]:[Spring Week 12]])</f>
        <v>0.99999999999999956</v>
      </c>
      <c r="AL115" s="27">
        <f>IF(Table1[[#This Row],[Hours]]&gt;0,Table1[[#This Row],[Hours]],Table1[[#This Row],[Nominal Hours]])*COUNTIF(Table1[[#This Row],[Autumn Week 1]:[Spring Week 12]],"&gt;0")</f>
        <v>240</v>
      </c>
    </row>
    <row r="116" spans="1:38">
      <c r="A116" s="9" t="s">
        <v>47</v>
      </c>
      <c r="B116" s="2" t="s">
        <v>23</v>
      </c>
      <c r="C116" s="12" t="s">
        <v>122</v>
      </c>
      <c r="D116" s="30">
        <f>INDEX(Table2[CA weight],MATCH(Table1[[#This Row],[Module Code]],Table2[Module Code],0))</f>
        <v>100</v>
      </c>
      <c r="E116" s="30">
        <f>INDEX(Table2[Credits],MATCH(Table1[[#This Row],[Module Code]],Table2[Module Code],0))</f>
        <v>30</v>
      </c>
      <c r="F116" s="12" t="s">
        <v>332</v>
      </c>
      <c r="G116" s="11" t="s">
        <v>220</v>
      </c>
      <c r="H116" s="11" t="s">
        <v>299</v>
      </c>
      <c r="I116" s="11">
        <v>5</v>
      </c>
      <c r="J116" s="11">
        <f>IFERROR(AVERAGEIF(Table1[[#This Row],[Autumn Week 1]:[Spring Exams]],"&gt;0",Table1[[#This Row],[Autumn Week 1]:[Spring Exams]])*4*Table1[[#This Row],[Credits]],0)</f>
        <v>8</v>
      </c>
      <c r="K116" s="11">
        <v>0.1</v>
      </c>
      <c r="L116" s="18"/>
      <c r="M116" s="18"/>
      <c r="N116" s="18"/>
      <c r="O116" s="19"/>
      <c r="P116" s="18"/>
      <c r="Q116" s="18">
        <v>0.05</v>
      </c>
      <c r="R116" s="18"/>
      <c r="S116" s="19"/>
      <c r="T116" s="18"/>
      <c r="U116" s="18"/>
      <c r="V116" s="18">
        <v>0.05</v>
      </c>
      <c r="W116" s="19"/>
      <c r="X116" s="20"/>
      <c r="Y116" s="20"/>
      <c r="Z116" s="20"/>
      <c r="AA116" s="20"/>
      <c r="AB116" s="20"/>
      <c r="AC116" s="20">
        <v>0.1</v>
      </c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0.2</v>
      </c>
      <c r="AL116" s="27">
        <f>IF(Table1[[#This Row],[Hours]]&gt;0,Table1[[#This Row],[Hours]],Table1[[#This Row],[Nominal Hours]])*COUNTIF(Table1[[#This Row],[Autumn Week 1]:[Spring Week 12]],"&gt;0")</f>
        <v>0.30000000000000004</v>
      </c>
    </row>
    <row r="117" spans="1:38">
      <c r="A117" s="9" t="s">
        <v>47</v>
      </c>
      <c r="B117" s="2" t="s">
        <v>23</v>
      </c>
      <c r="C117" s="13" t="s">
        <v>122</v>
      </c>
      <c r="D117" s="29">
        <f>INDEX(Table2[CA weight],MATCH(Table1[[#This Row],[Module Code]],Table2[Module Code],0))</f>
        <v>100</v>
      </c>
      <c r="E117" s="29">
        <f>INDEX(Table2[Credits],MATCH(Table1[[#This Row],[Module Code]],Table2[Module Code],0))</f>
        <v>30</v>
      </c>
      <c r="F117" s="13" t="s">
        <v>359</v>
      </c>
      <c r="G117" s="11" t="s">
        <v>229</v>
      </c>
      <c r="H117" s="11" t="s">
        <v>299</v>
      </c>
      <c r="I117" s="13">
        <v>6</v>
      </c>
      <c r="J117" s="11">
        <f>IFERROR(AVERAGEIF(Table1[[#This Row],[Autumn Week 1]:[Spring Exams]],"&gt;0",Table1[[#This Row],[Autumn Week 1]:[Spring Exams]])*4*Table1[[#This Row],[Credits]],0)</f>
        <v>48</v>
      </c>
      <c r="K117" s="13">
        <v>0.1</v>
      </c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>
        <v>0.4</v>
      </c>
      <c r="AJ117" s="20"/>
      <c r="AK117" s="27">
        <f>SUMIF(Table1[[#This Row],[Autumn Week 1]:[Spring Week 12]],"&gt;0",Table1[[#This Row],[Autumn Week 1]:[Spring Week 12]])</f>
        <v>0.4</v>
      </c>
      <c r="AL117" s="27">
        <f>IF(Table1[[#This Row],[Hours]]&gt;0,Table1[[#This Row],[Hours]],Table1[[#This Row],[Nominal Hours]])*COUNTIF(Table1[[#This Row],[Autumn Week 1]:[Spring Week 12]],"&gt;0")</f>
        <v>0.1</v>
      </c>
    </row>
    <row r="118" spans="1:38">
      <c r="A118" s="9" t="s">
        <v>47</v>
      </c>
      <c r="B118" s="2" t="s">
        <v>23</v>
      </c>
      <c r="C118" s="11" t="s">
        <v>123</v>
      </c>
      <c r="D118" s="29">
        <f>INDEX(Table2[CA weight],MATCH(Table1[[#This Row],[Module Code]],Table2[Module Code],0))</f>
        <v>100</v>
      </c>
      <c r="E118" s="29">
        <f>INDEX(Table2[Credits],MATCH(Table1[[#This Row],[Module Code]],Table2[Module Code],0))</f>
        <v>30</v>
      </c>
      <c r="F118" s="11" t="s">
        <v>335</v>
      </c>
      <c r="G118" s="11" t="s">
        <v>220</v>
      </c>
      <c r="H118" s="11" t="s">
        <v>299</v>
      </c>
      <c r="I118" s="11">
        <v>11</v>
      </c>
      <c r="J118" s="11">
        <f>IFERROR(AVERAGEIF(Table1[[#This Row],[Autumn Week 1]:[Spring Exams]],"&gt;0",Table1[[#This Row],[Autumn Week 1]:[Spring Exams]])*4*Table1[[#This Row],[Credits]],0)</f>
        <v>24</v>
      </c>
      <c r="K118" s="11">
        <v>10</v>
      </c>
      <c r="L118" s="18"/>
      <c r="M118" s="18"/>
      <c r="N118" s="18"/>
      <c r="O118" s="19"/>
      <c r="P118" s="18"/>
      <c r="Q118" s="18"/>
      <c r="R118" s="18"/>
      <c r="S118" s="19"/>
      <c r="T118" s="18"/>
      <c r="U118" s="18"/>
      <c r="V118" s="18">
        <v>0.2</v>
      </c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0.2</v>
      </c>
      <c r="AL118" s="27">
        <f>IF(Table1[[#This Row],[Hours]]&gt;0,Table1[[#This Row],[Hours]],Table1[[#This Row],[Nominal Hours]])*COUNTIF(Table1[[#This Row],[Autumn Week 1]:[Spring Week 12]],"&gt;0")</f>
        <v>10</v>
      </c>
    </row>
    <row r="119" spans="1:38">
      <c r="A119" s="9" t="s">
        <v>47</v>
      </c>
      <c r="B119" s="2" t="s">
        <v>23</v>
      </c>
      <c r="C119" s="11" t="s">
        <v>123</v>
      </c>
      <c r="D119" s="29">
        <f>INDEX(Table2[CA weight],MATCH(Table1[[#This Row],[Module Code]],Table2[Module Code],0))</f>
        <v>100</v>
      </c>
      <c r="E119" s="29">
        <f>INDEX(Table2[Credits],MATCH(Table1[[#This Row],[Module Code]],Table2[Module Code],0))</f>
        <v>30</v>
      </c>
      <c r="F119" s="11" t="s">
        <v>343</v>
      </c>
      <c r="G119" s="11" t="s">
        <v>229</v>
      </c>
      <c r="H119" s="11" t="s">
        <v>299</v>
      </c>
      <c r="I119" s="11">
        <v>11</v>
      </c>
      <c r="J119" s="11">
        <f>IFERROR(AVERAGEIF(Table1[[#This Row],[Autumn Week 1]:[Spring Exams]],"&gt;0",Table1[[#This Row],[Autumn Week 1]:[Spring Exams]])*4*Table1[[#This Row],[Credits]],0)</f>
        <v>48</v>
      </c>
      <c r="K119" s="11">
        <v>10</v>
      </c>
      <c r="L119" s="18"/>
      <c r="M119" s="18"/>
      <c r="N119" s="18"/>
      <c r="O119" s="19"/>
      <c r="P119" s="18"/>
      <c r="Q119" s="18"/>
      <c r="R119" s="18"/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>
        <v>0.4</v>
      </c>
      <c r="AJ119" s="20"/>
      <c r="AK119" s="27">
        <f>SUMIF(Table1[[#This Row],[Autumn Week 1]:[Spring Week 12]],"&gt;0",Table1[[#This Row],[Autumn Week 1]:[Spring Week 12]])</f>
        <v>0.4</v>
      </c>
      <c r="AL119" s="27">
        <f>IF(Table1[[#This Row],[Hours]]&gt;0,Table1[[#This Row],[Hours]],Table1[[#This Row],[Nominal Hours]])*COUNTIF(Table1[[#This Row],[Autumn Week 1]:[Spring Week 12]],"&gt;0")</f>
        <v>10</v>
      </c>
    </row>
    <row r="120" spans="1:38">
      <c r="A120" s="9" t="s">
        <v>47</v>
      </c>
      <c r="B120" s="2" t="s">
        <v>23</v>
      </c>
      <c r="C120" s="11" t="s">
        <v>121</v>
      </c>
      <c r="D120" s="29">
        <f>INDEX(Table2[CA weight],MATCH(Table1[[#This Row],[Module Code]],Table2[Module Code],0))</f>
        <v>100</v>
      </c>
      <c r="E120" s="29">
        <f>INDEX(Table2[Credits],MATCH(Table1[[#This Row],[Module Code]],Table2[Module Code],0))</f>
        <v>30</v>
      </c>
      <c r="F120" s="11" t="s">
        <v>208</v>
      </c>
      <c r="G120" s="11" t="s">
        <v>229</v>
      </c>
      <c r="H120" s="11" t="s">
        <v>309</v>
      </c>
      <c r="I120" s="11">
        <v>6</v>
      </c>
      <c r="J120" s="11">
        <f>IFERROR(AVERAGEIF(Table1[[#This Row],[Autumn Week 1]:[Spring Exams]],"&gt;0",Table1[[#This Row],[Autumn Week 1]:[Spring Exams]])*4*Table1[[#This Row],[Credits]],0)</f>
        <v>24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>
        <v>0.2</v>
      </c>
      <c r="AH120" s="20"/>
      <c r="AI120" s="20"/>
      <c r="AJ120" s="20"/>
      <c r="AK120" s="27">
        <f>SUMIF(Table1[[#This Row],[Autumn Week 1]:[Spring Week 12]],"&gt;0",Table1[[#This Row],[Autumn Week 1]:[Spring Week 12]])</f>
        <v>0.2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8">
      <c r="A121" s="4" t="s">
        <v>61</v>
      </c>
      <c r="B121" s="2" t="s">
        <v>62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281</v>
      </c>
      <c r="G121" s="11" t="s">
        <v>229</v>
      </c>
      <c r="H121" s="11" t="s">
        <v>299</v>
      </c>
      <c r="I121" s="11">
        <v>1</v>
      </c>
      <c r="J121" s="11">
        <f>IFERROR(AVERAGEIF(Table1[[#This Row],[Autumn Week 1]:[Spring Exams]],"&gt;0",Table1[[#This Row],[Autumn Week 1]:[Spring Exams]])*4*Table1[[#This Row],[Credits]],0)</f>
        <v>0.49999999999999994</v>
      </c>
      <c r="K121" s="11">
        <v>0.5</v>
      </c>
      <c r="L121" s="18"/>
      <c r="M121" s="18">
        <v>-1.2999999999999999E-2</v>
      </c>
      <c r="N121" s="18">
        <v>-1.2999999999999999E-2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>
        <v>1.2500000000000001E-2</v>
      </c>
      <c r="T121" s="18">
        <v>1.2500000000000001E-2</v>
      </c>
      <c r="U121" s="18">
        <v>1.2500000000000001E-2</v>
      </c>
      <c r="V121" s="18">
        <v>1.2500000000000001E-2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9.9999999999999992E-2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61</v>
      </c>
      <c r="B122" s="2" t="s">
        <v>62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378</v>
      </c>
      <c r="G122" s="11" t="s">
        <v>229</v>
      </c>
      <c r="H122" s="11" t="s">
        <v>299</v>
      </c>
      <c r="I122" s="11">
        <v>4</v>
      </c>
      <c r="J122" s="11">
        <f>IFERROR(AVERAGEIF(Table1[[#This Row],[Autumn Week 1]:[Spring Exams]],"&gt;0",Table1[[#This Row],[Autumn Week 1]:[Spring Exams]])*4*Table1[[#This Row],[Credits]],0)</f>
        <v>0</v>
      </c>
      <c r="K122" s="11"/>
      <c r="L122" s="18"/>
      <c r="M122" s="18"/>
      <c r="N122" s="18"/>
      <c r="O122" s="19"/>
      <c r="P122" s="18"/>
      <c r="Q122" s="18"/>
      <c r="R122" s="18">
        <v>-0.2</v>
      </c>
      <c r="S122" s="19"/>
      <c r="T122" s="18"/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</v>
      </c>
      <c r="AL122" s="27">
        <f>IF(Table1[[#This Row],[Hours]]&gt;0,Table1[[#This Row],[Hours]],Table1[[#This Row],[Nominal Hours]])*COUNTIF(Table1[[#This Row],[Autumn Week 1]:[Spring Week 12]],"&gt;0")</f>
        <v>0</v>
      </c>
    </row>
    <row r="123" spans="1:38">
      <c r="A123" s="4" t="s">
        <v>61</v>
      </c>
      <c r="B123" s="2" t="s">
        <v>62</v>
      </c>
      <c r="C123" s="11" t="s">
        <v>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11" t="s">
        <v>206</v>
      </c>
      <c r="G123" s="11" t="s">
        <v>229</v>
      </c>
      <c r="H123" s="11" t="s">
        <v>305</v>
      </c>
      <c r="I123" s="11">
        <v>4</v>
      </c>
      <c r="J123" s="11">
        <f>IFERROR(AVERAGEIF(Table1[[#This Row],[Autumn Week 1]:[Spring Exams]],"&gt;0",Table1[[#This Row],[Autumn Week 1]:[Spring Exams]])*4*Table1[[#This Row],[Credits]],0)</f>
        <v>8</v>
      </c>
      <c r="K123" s="11"/>
      <c r="L123" s="18"/>
      <c r="M123" s="18"/>
      <c r="N123" s="18"/>
      <c r="O123" s="19"/>
      <c r="P123" s="18"/>
      <c r="Q123" s="18"/>
      <c r="R123" s="18"/>
      <c r="S123" s="19">
        <v>0.2</v>
      </c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0.2</v>
      </c>
      <c r="AL123" s="27">
        <f>IF(Table1[[#This Row],[Hours]]&gt;0,Table1[[#This Row],[Hours]],Table1[[#This Row],[Nominal Hours]])*COUNTIF(Table1[[#This Row],[Autumn Week 1]:[Spring Week 12]],"&gt;0")</f>
        <v>8</v>
      </c>
    </row>
    <row r="124" spans="1:38">
      <c r="A124" s="4" t="s">
        <v>238</v>
      </c>
      <c r="B124" s="2" t="s">
        <v>237</v>
      </c>
      <c r="C124" s="11" t="s">
        <v>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299</v>
      </c>
      <c r="I124" s="11">
        <v>3</v>
      </c>
      <c r="J124" s="11">
        <f>IFERROR(AVERAGEIF(Table1[[#This Row],[Autumn Week 1]:[Spring Exams]],"&gt;0",Table1[[#This Row],[Autumn Week 1]:[Spring Exams]])*4*Table1[[#This Row],[Credits]],0)</f>
        <v>6</v>
      </c>
      <c r="K124" s="11"/>
      <c r="L124" s="18"/>
      <c r="M124" s="18"/>
      <c r="N124" s="18"/>
      <c r="O124" s="19"/>
      <c r="P124" s="18"/>
      <c r="Q124" s="18"/>
      <c r="R124" s="18"/>
      <c r="S124" s="19"/>
      <c r="T124" s="18">
        <v>0.15</v>
      </c>
      <c r="U124" s="18"/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0.15</v>
      </c>
      <c r="AL124" s="27">
        <f>IF(Table1[[#This Row],[Hours]]&gt;0,Table1[[#This Row],[Hours]],Table1[[#This Row],[Nominal Hours]])*COUNTIF(Table1[[#This Row],[Autumn Week 1]:[Spring Week 12]],"&gt;0")</f>
        <v>6</v>
      </c>
    </row>
    <row r="125" spans="1:38">
      <c r="A125" s="4" t="s">
        <v>238</v>
      </c>
      <c r="B125" s="2" t="s">
        <v>237</v>
      </c>
      <c r="C125" s="11" t="s">
        <v>121</v>
      </c>
      <c r="D125" s="29">
        <f>INDEX(Table2[CA weight],MATCH(Table1[[#This Row],[Module Code]],Table2[Module Code],0))</f>
        <v>30</v>
      </c>
      <c r="E125" s="29">
        <f>INDEX(Table2[Credits],MATCH(Table1[[#This Row],[Module Code]],Table2[Module Code],0))</f>
        <v>10</v>
      </c>
      <c r="F125" s="11" t="s">
        <v>369</v>
      </c>
      <c r="G125" s="11" t="s">
        <v>229</v>
      </c>
      <c r="H125" s="11" t="s">
        <v>321</v>
      </c>
      <c r="I125" s="11">
        <v>3</v>
      </c>
      <c r="J125" s="11">
        <f>IFERROR(AVERAGEIF(Table1[[#This Row],[Autumn Week 1]:[Spring Exams]],"&gt;0",Table1[[#This Row],[Autumn Week 1]:[Spring Exams]])*4*Table1[[#This Row],[Credits]],0)</f>
        <v>6</v>
      </c>
      <c r="K125" s="11"/>
      <c r="L125" s="18"/>
      <c r="M125" s="18"/>
      <c r="N125" s="18"/>
      <c r="O125" s="19"/>
      <c r="P125" s="18"/>
      <c r="Q125" s="18"/>
      <c r="R125" s="18">
        <v>0.15</v>
      </c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0.15</v>
      </c>
      <c r="AL125" s="27">
        <f>IF(Table1[[#This Row],[Hours]]&gt;0,Table1[[#This Row],[Hours]],Table1[[#This Row],[Nominal Hours]])*COUNTIF(Table1[[#This Row],[Autumn Week 1]:[Spring Week 12]],"&gt;0")</f>
        <v>6</v>
      </c>
    </row>
    <row r="126" spans="1:38" ht="28">
      <c r="A126" s="4" t="s">
        <v>63</v>
      </c>
      <c r="B126" s="2" t="s">
        <v>293</v>
      </c>
      <c r="C126" s="11" t="s">
        <v>121</v>
      </c>
      <c r="D126" s="29">
        <f>INDEX(Table2[CA weight],MATCH(Table1[[#This Row],[Module Code]],Table2[Module Code],0))</f>
        <v>25</v>
      </c>
      <c r="E126" s="29">
        <f>INDEX(Table2[Credits],MATCH(Table1[[#This Row],[Module Code]],Table2[Module Code],0))</f>
        <v>10</v>
      </c>
      <c r="F126" s="37" t="s">
        <v>382</v>
      </c>
      <c r="G126" s="11" t="s">
        <v>229</v>
      </c>
      <c r="H126" s="11" t="s">
        <v>309</v>
      </c>
      <c r="I126" s="11">
        <v>2</v>
      </c>
      <c r="J126" s="11">
        <f>IFERROR(AVERAGEIF(Table1[[#This Row],[Autumn Week 1]:[Spring Exams]],"&gt;0",Table1[[#This Row],[Autumn Week 1]:[Spring Exams]])*4*Table1[[#This Row],[Credits]],0)</f>
        <v>10</v>
      </c>
      <c r="K126" s="11">
        <v>15</v>
      </c>
      <c r="L126" s="18"/>
      <c r="M126" s="18"/>
      <c r="N126" s="18"/>
      <c r="O126" s="19"/>
      <c r="P126" s="18"/>
      <c r="Q126" s="18"/>
      <c r="R126" s="18"/>
      <c r="S126" s="19"/>
      <c r="T126" s="18">
        <v>0.25</v>
      </c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0.25</v>
      </c>
      <c r="AL126" s="27">
        <f>IF(Table1[[#This Row],[Hours]]&gt;0,Table1[[#This Row],[Hours]],Table1[[#This Row],[Nominal Hours]])*COUNTIF(Table1[[#This Row],[Autumn Week 1]:[Spring Week 12]],"&gt;0")</f>
        <v>15</v>
      </c>
    </row>
    <row r="127" spans="1:38" ht="28">
      <c r="A127" s="4" t="s">
        <v>66</v>
      </c>
      <c r="B127" s="2" t="s">
        <v>67</v>
      </c>
      <c r="C127" s="11" t="s">
        <v>125</v>
      </c>
      <c r="D127" s="29">
        <f>INDEX(Table2[CA weight],MATCH(Table1[[#This Row],[Module Code]],Table2[Module Code],0))</f>
        <v>30</v>
      </c>
      <c r="E127" s="29">
        <f>INDEX(Table2[Credits],MATCH(Table1[[#This Row],[Module Code]],Table2[Module Code],0))</f>
        <v>10</v>
      </c>
      <c r="F127" s="37" t="s">
        <v>285</v>
      </c>
      <c r="G127" s="11" t="s">
        <v>229</v>
      </c>
      <c r="H127" s="11" t="s">
        <v>299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0.8</v>
      </c>
      <c r="K127" s="11">
        <v>2</v>
      </c>
      <c r="L127" s="18"/>
      <c r="M127" s="18">
        <v>-0.15</v>
      </c>
      <c r="N127" s="18">
        <v>0.02</v>
      </c>
      <c r="O127" s="18">
        <v>-0.15</v>
      </c>
      <c r="P127" s="18">
        <v>0.02</v>
      </c>
      <c r="Q127" s="18">
        <v>-0.15</v>
      </c>
      <c r="R127" s="18">
        <v>0.02</v>
      </c>
      <c r="S127" s="18">
        <v>-1.4999999999999999E-2</v>
      </c>
      <c r="T127" s="18">
        <v>0.02</v>
      </c>
      <c r="U127" s="18"/>
      <c r="V127" s="18">
        <v>0.02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0.1</v>
      </c>
      <c r="AL127" s="27">
        <f>IF(Table1[[#This Row],[Hours]]&gt;0,Table1[[#This Row],[Hours]],Table1[[#This Row],[Nominal Hours]])*COUNTIF(Table1[[#This Row],[Autumn Week 1]:[Spring Week 12]],"&gt;0")</f>
        <v>10</v>
      </c>
    </row>
    <row r="128" spans="1:38">
      <c r="A128" s="4" t="s">
        <v>66</v>
      </c>
      <c r="B128" s="2" t="s">
        <v>67</v>
      </c>
      <c r="C128" s="11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299</v>
      </c>
      <c r="I128" s="11">
        <v>2</v>
      </c>
      <c r="J128" s="11">
        <f>IFERROR(AVERAGEIF(Table1[[#This Row],[Autumn Week 1]:[Spring Exams]],"&gt;0",Table1[[#This Row],[Autumn Week 1]:[Spring Exams]])*4*Table1[[#This Row],[Credits]],0)</f>
        <v>4</v>
      </c>
      <c r="K128" s="11"/>
      <c r="L128" s="18"/>
      <c r="M128" s="18"/>
      <c r="N128" s="18"/>
      <c r="O128" s="19"/>
      <c r="P128" s="18"/>
      <c r="Q128" s="19">
        <v>-0.1</v>
      </c>
      <c r="R128" s="18"/>
      <c r="S128" s="19">
        <v>0.1</v>
      </c>
      <c r="T128" s="18"/>
      <c r="U128" s="19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0.2</v>
      </c>
      <c r="AL128" s="27">
        <f>IF(Table1[[#This Row],[Hours]]&gt;0,Table1[[#This Row],[Hours]],Table1[[#This Row],[Nominal Hours]])*COUNTIF(Table1[[#This Row],[Autumn Week 1]:[Spring Week 12]],"&gt;0")</f>
        <v>8</v>
      </c>
    </row>
    <row r="129" spans="1:38">
      <c r="A129" s="4" t="s">
        <v>69</v>
      </c>
      <c r="B129" s="2" t="s">
        <v>70</v>
      </c>
      <c r="C129" s="11" t="s">
        <v>125</v>
      </c>
      <c r="D129" s="29">
        <f>INDEX(Table2[CA weight],MATCH(Table1[[#This Row],[Module Code]],Table2[Module Code],0))</f>
        <v>100</v>
      </c>
      <c r="E129" s="29">
        <f>INDEX(Table2[Credits],MATCH(Table1[[#This Row],[Module Code]],Table2[Module Code],0))</f>
        <v>10</v>
      </c>
      <c r="F129" s="11" t="s">
        <v>297</v>
      </c>
      <c r="G129" s="11" t="s">
        <v>220</v>
      </c>
      <c r="H129" s="11" t="s">
        <v>299</v>
      </c>
      <c r="I129" s="11">
        <v>1</v>
      </c>
      <c r="J129" s="11">
        <f>IFERROR(AVERAGEIF(Table1[[#This Row],[Autumn Week 1]:[Spring Exams]],"&gt;0",Table1[[#This Row],[Autumn Week 1]:[Spring Exams]])*4*Table1[[#This Row],[Credits]],0)</f>
        <v>0.49999999999999994</v>
      </c>
      <c r="K129" s="11">
        <v>0.5</v>
      </c>
      <c r="L129" s="18">
        <v>1.2500000000000001E-2</v>
      </c>
      <c r="M129" s="18">
        <v>1.2500000000000001E-2</v>
      </c>
      <c r="N129" s="18">
        <v>1.2500000000000001E-2</v>
      </c>
      <c r="O129" s="18">
        <v>1.2500000000000001E-2</v>
      </c>
      <c r="P129" s="18">
        <v>1.2500000000000001E-2</v>
      </c>
      <c r="Q129" s="18"/>
      <c r="R129" s="18">
        <v>1.2500000000000001E-2</v>
      </c>
      <c r="S129" s="18"/>
      <c r="T129" s="18">
        <v>1.2500000000000001E-2</v>
      </c>
      <c r="U129" s="18"/>
      <c r="V129" s="18"/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8.7499999999999994E-2</v>
      </c>
      <c r="AL129" s="27">
        <f>IF(Table1[[#This Row],[Hours]]&gt;0,Table1[[#This Row],[Hours]],Table1[[#This Row],[Nominal Hours]])*COUNTIF(Table1[[#This Row],[Autumn Week 1]:[Spring Week 12]],"&gt;0")</f>
        <v>3.5</v>
      </c>
    </row>
    <row r="130" spans="1:38">
      <c r="A130" s="4" t="s">
        <v>69</v>
      </c>
      <c r="B130" s="2" t="s">
        <v>70</v>
      </c>
      <c r="C130" s="11"/>
      <c r="D130" s="29">
        <f>INDEX(Table2[CA weight],MATCH(Table1[[#This Row],[Module Code]],Table2[Module Code],0))</f>
        <v>100</v>
      </c>
      <c r="E130" s="29">
        <f>INDEX(Table2[Credits],MATCH(Table1[[#This Row],[Module Code]],Table2[Module Code],0))</f>
        <v>10</v>
      </c>
      <c r="F130" s="11" t="s">
        <v>296</v>
      </c>
      <c r="G130" s="11" t="s">
        <v>229</v>
      </c>
      <c r="H130" s="11" t="s">
        <v>299</v>
      </c>
      <c r="I130" s="11">
        <v>1</v>
      </c>
      <c r="J130" s="11">
        <f>IFERROR(AVERAGEIF(Table1[[#This Row],[Autumn Week 1]:[Spring Exams]],"&gt;0",Table1[[#This Row],[Autumn Week 1]:[Spring Exams]])*4*Table1[[#This Row],[Credits]],0)</f>
        <v>4</v>
      </c>
      <c r="K130" s="11">
        <v>0.5</v>
      </c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>
        <v>0.1</v>
      </c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0.1</v>
      </c>
      <c r="AL130" s="27">
        <f>IF(Table1[[#This Row],[Hours]]&gt;0,Table1[[#This Row],[Hours]],Table1[[#This Row],[Nominal Hours]])*COUNTIF(Table1[[#This Row],[Autumn Week 1]:[Spring Week 12]],"&gt;0")</f>
        <v>0.5</v>
      </c>
    </row>
    <row r="131" spans="1:38">
      <c r="A131" s="4" t="s">
        <v>69</v>
      </c>
      <c r="B131" s="2" t="s">
        <v>70</v>
      </c>
      <c r="C131" s="11" t="s">
        <v>4</v>
      </c>
      <c r="D131" s="29">
        <f>INDEX(Table2[CA weight],MATCH(Table1[[#This Row],[Module Code]],Table2[Module Code],0))</f>
        <v>100</v>
      </c>
      <c r="E131" s="29">
        <f>INDEX(Table2[Credits],MATCH(Table1[[#This Row],[Module Code]],Table2[Module Code],0))</f>
        <v>10</v>
      </c>
      <c r="F131" s="11" t="s">
        <v>327</v>
      </c>
      <c r="G131" s="11" t="s">
        <v>229</v>
      </c>
      <c r="H131" s="11" t="s">
        <v>345</v>
      </c>
      <c r="I131" s="11">
        <v>4</v>
      </c>
      <c r="J131" s="11">
        <f>IFERROR(AVERAGEIF(Table1[[#This Row],[Autumn Week 1]:[Spring Exams]],"&gt;0",Table1[[#This Row],[Autumn Week 1]:[Spring Exams]])*4*Table1[[#This Row],[Credits]],0)</f>
        <v>14</v>
      </c>
      <c r="K131" s="11"/>
      <c r="L131" s="18"/>
      <c r="M131" s="18"/>
      <c r="N131" s="18"/>
      <c r="O131" s="19"/>
      <c r="P131" s="18"/>
      <c r="Q131" s="18">
        <v>0.35</v>
      </c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0.35</v>
      </c>
      <c r="AL131" s="27">
        <f>IF(Table1[[#This Row],[Hours]]&gt;0,Table1[[#This Row],[Hours]],Table1[[#This Row],[Nominal Hours]])*COUNTIF(Table1[[#This Row],[Autumn Week 1]:[Spring Week 12]],"&gt;0")</f>
        <v>14</v>
      </c>
    </row>
    <row r="132" spans="1:38">
      <c r="A132" s="4" t="s">
        <v>69</v>
      </c>
      <c r="B132" s="2" t="s">
        <v>70</v>
      </c>
      <c r="C132" s="11" t="s">
        <v>123</v>
      </c>
      <c r="D132" s="29">
        <f>INDEX(Table2[CA weight],MATCH(Table1[[#This Row],[Module Code]],Table2[Module Code],0))</f>
        <v>100</v>
      </c>
      <c r="E132" s="29">
        <f>INDEX(Table2[Credits],MATCH(Table1[[#This Row],[Module Code]],Table2[Module Code],0))</f>
        <v>10</v>
      </c>
      <c r="F132" s="11" t="s">
        <v>201</v>
      </c>
      <c r="G132" s="11" t="s">
        <v>229</v>
      </c>
      <c r="H132" s="11" t="s">
        <v>299</v>
      </c>
      <c r="I132" s="11">
        <v>4</v>
      </c>
      <c r="J132" s="11">
        <f>IFERROR(AVERAGEIF(Table1[[#This Row],[Autumn Week 1]:[Spring Exams]],"&gt;0",Table1[[#This Row],[Autumn Week 1]:[Spring Exams]])*4*Table1[[#This Row],[Credits]],0)</f>
        <v>22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>
        <v>0.55000000000000004</v>
      </c>
      <c r="W132" s="19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0.55000000000000004</v>
      </c>
      <c r="AL132" s="27">
        <f>IF(Table1[[#This Row],[Hours]]&gt;0,Table1[[#This Row],[Hours]],Table1[[#This Row],[Nominal Hours]])*COUNTIF(Table1[[#This Row],[Autumn Week 1]:[Spring Week 12]],"&gt;0")</f>
        <v>22</v>
      </c>
    </row>
    <row r="133" spans="1:38" ht="28">
      <c r="A133" s="4" t="s">
        <v>71</v>
      </c>
      <c r="B133" s="2" t="s">
        <v>72</v>
      </c>
      <c r="C133" s="11" t="s">
        <v>4</v>
      </c>
      <c r="D133" s="29">
        <f>INDEX(Table2[CA weight],MATCH(Table1[[#This Row],[Module Code]],Table2[Module Code],0))</f>
        <v>50</v>
      </c>
      <c r="E133" s="29">
        <f>INDEX(Table2[Credits],MATCH(Table1[[#This Row],[Module Code]],Table2[Module Code],0))</f>
        <v>10</v>
      </c>
      <c r="F133" s="37" t="s">
        <v>361</v>
      </c>
      <c r="G133" s="11" t="s">
        <v>229</v>
      </c>
      <c r="H133" s="11" t="s">
        <v>305</v>
      </c>
      <c r="I133" s="11">
        <v>1</v>
      </c>
      <c r="J133" s="11">
        <f>IFERROR(AVERAGEIF(Table1[[#This Row],[Autumn Week 1]:[Spring Exams]],"&gt;0",Table1[[#This Row],[Autumn Week 1]:[Spring Exams]])*4*Table1[[#This Row],[Credits]],0)</f>
        <v>0.39999999999999991</v>
      </c>
      <c r="K133" s="11">
        <v>0.5</v>
      </c>
      <c r="L133" s="18"/>
      <c r="M133" s="18">
        <v>0.01</v>
      </c>
      <c r="N133" s="18">
        <v>0.01</v>
      </c>
      <c r="O133" s="19">
        <v>0.01</v>
      </c>
      <c r="P133" s="18">
        <v>0.01</v>
      </c>
      <c r="Q133" s="18">
        <v>0.01</v>
      </c>
      <c r="R133" s="18">
        <v>0.01</v>
      </c>
      <c r="S133" s="19">
        <v>0.01</v>
      </c>
      <c r="T133" s="18">
        <v>0.01</v>
      </c>
      <c r="U133" s="18">
        <v>0.01</v>
      </c>
      <c r="V133" s="18">
        <v>0.01</v>
      </c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9.9999999999999992E-2</v>
      </c>
      <c r="AL133" s="27">
        <f>IF(Table1[[#This Row],[Hours]]&gt;0,Table1[[#This Row],[Hours]],Table1[[#This Row],[Nominal Hours]])*COUNTIF(Table1[[#This Row],[Autumn Week 1]:[Spring Week 12]],"&gt;0")</f>
        <v>5</v>
      </c>
    </row>
    <row r="134" spans="1:38">
      <c r="A134" s="4" t="s">
        <v>71</v>
      </c>
      <c r="B134" s="2" t="s">
        <v>72</v>
      </c>
      <c r="C134" s="11" t="s">
        <v>5</v>
      </c>
      <c r="D134" s="29">
        <f>INDEX(Table2[CA weight],MATCH(Table1[[#This Row],[Module Code]],Table2[Module Code],0))</f>
        <v>50</v>
      </c>
      <c r="E134" s="29">
        <f>INDEX(Table2[Credits],MATCH(Table1[[#This Row],[Module Code]],Table2[Module Code],0))</f>
        <v>10</v>
      </c>
      <c r="F134" s="11" t="s">
        <v>206</v>
      </c>
      <c r="G134" s="11" t="s">
        <v>229</v>
      </c>
      <c r="H134" s="11" t="s">
        <v>299</v>
      </c>
      <c r="I134" s="11">
        <v>2</v>
      </c>
      <c r="J134" s="11">
        <f>IFERROR(AVERAGEIF(Table1[[#This Row],[Autumn Week 1]:[Spring Exams]],"&gt;0",Table1[[#This Row],[Autumn Week 1]:[Spring Exams]])*4*Table1[[#This Row],[Credits]],0)</f>
        <v>4</v>
      </c>
      <c r="K134" s="11"/>
      <c r="L134" s="18"/>
      <c r="M134" s="18"/>
      <c r="N134" s="18">
        <v>0.1</v>
      </c>
      <c r="O134" s="19"/>
      <c r="P134" s="18">
        <v>0.1</v>
      </c>
      <c r="Q134" s="18"/>
      <c r="R134" s="18">
        <v>0.1</v>
      </c>
      <c r="S134" s="19"/>
      <c r="T134" s="18"/>
      <c r="U134" s="18">
        <v>0.1</v>
      </c>
      <c r="V134" s="18"/>
      <c r="W134" s="19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190</v>
      </c>
      <c r="B135" s="3" t="s">
        <v>110</v>
      </c>
      <c r="C135" s="12" t="s">
        <v>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12" t="s">
        <v>206</v>
      </c>
      <c r="G135" s="11" t="s">
        <v>229</v>
      </c>
      <c r="H135" s="11" t="s">
        <v>305</v>
      </c>
      <c r="I135" s="11">
        <v>3</v>
      </c>
      <c r="J135" s="11">
        <f>IFERROR(AVERAGEIF(Table1[[#This Row],[Autumn Week 1]:[Spring Exams]],"&gt;0",Table1[[#This Row],[Autumn Week 1]:[Spring Exams]])*4*Table1[[#This Row],[Credits]],0)</f>
        <v>8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>
        <v>0.2</v>
      </c>
      <c r="AB135" s="20"/>
      <c r="AC135" s="20"/>
      <c r="AD135" s="20"/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0.2</v>
      </c>
      <c r="AL135" s="27">
        <f>IF(Table1[[#This Row],[Hours]]&gt;0,Table1[[#This Row],[Hours]],Table1[[#This Row],[Nominal Hours]])*COUNTIF(Table1[[#This Row],[Autumn Week 1]:[Spring Week 12]],"&gt;0")</f>
        <v>8</v>
      </c>
    </row>
    <row r="136" spans="1:38">
      <c r="A136" s="3" t="s">
        <v>191</v>
      </c>
      <c r="B136" s="3" t="s">
        <v>111</v>
      </c>
      <c r="C136" s="12" t="s">
        <v>5</v>
      </c>
      <c r="D136" s="29">
        <f>INDEX(Table2[CA weight],MATCH(Table1[[#This Row],[Module Code]],Table2[Module Code],0))</f>
        <v>30</v>
      </c>
      <c r="E136" s="29">
        <f>INDEX(Table2[Credits],MATCH(Table1[[#This Row],[Module Code]],Table2[Module Code],0))</f>
        <v>10</v>
      </c>
      <c r="F136" s="12" t="s">
        <v>206</v>
      </c>
      <c r="G136" s="11" t="s">
        <v>229</v>
      </c>
      <c r="H136" s="11" t="s">
        <v>299</v>
      </c>
      <c r="I136" s="11">
        <v>4</v>
      </c>
      <c r="J136" s="11">
        <f>IFERROR(AVERAGEIF(Table1[[#This Row],[Autumn Week 1]:[Spring Exams]],"&gt;0",Table1[[#This Row],[Autumn Week 1]:[Spring Exams]])*4*Table1[[#This Row],[Credits]],0)</f>
        <v>12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>
        <v>0.3</v>
      </c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0.3</v>
      </c>
      <c r="AL136" s="27">
        <f>IF(Table1[[#This Row],[Hours]]&gt;0,Table1[[#This Row],[Hours]],Table1[[#This Row],[Nominal Hours]])*COUNTIF(Table1[[#This Row],[Autumn Week 1]:[Spring Week 12]],"&gt;0")</f>
        <v>12</v>
      </c>
    </row>
    <row r="137" spans="1:38" ht="28">
      <c r="A137" s="3" t="s">
        <v>192</v>
      </c>
      <c r="B137" s="3" t="s">
        <v>112</v>
      </c>
      <c r="C137" s="11" t="s">
        <v>125</v>
      </c>
      <c r="D137" s="29">
        <f>INDEX(Table2[CA weight],MATCH(Table1[[#This Row],[Module Code]],Table2[Module Code],0))</f>
        <v>60</v>
      </c>
      <c r="E137" s="29">
        <f>INDEX(Table2[Credits],MATCH(Table1[[#This Row],[Module Code]],Table2[Module Code],0))</f>
        <v>10</v>
      </c>
      <c r="F137" s="37" t="s">
        <v>286</v>
      </c>
      <c r="G137" s="11" t="s">
        <v>229</v>
      </c>
      <c r="H137" s="11" t="s">
        <v>305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0.79999999999999982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0.02</v>
      </c>
      <c r="Z137" s="20">
        <v>0.02</v>
      </c>
      <c r="AA137" s="20">
        <v>0.02</v>
      </c>
      <c r="AB137" s="20">
        <v>0.02</v>
      </c>
      <c r="AC137" s="20">
        <v>0.02</v>
      </c>
      <c r="AD137" s="20">
        <v>0.02</v>
      </c>
      <c r="AE137" s="20">
        <v>0.02</v>
      </c>
      <c r="AF137" s="20">
        <v>0.02</v>
      </c>
      <c r="AG137" s="20">
        <v>0.02</v>
      </c>
      <c r="AH137" s="20">
        <v>0.02</v>
      </c>
      <c r="AI137" s="20"/>
      <c r="AJ137" s="20"/>
      <c r="AK137" s="27">
        <f>SUMIF(Table1[[#This Row],[Autumn Week 1]:[Spring Week 12]],"&gt;0",Table1[[#This Row],[Autumn Week 1]:[Spring Week 12]])</f>
        <v>0.19999999999999998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192</v>
      </c>
      <c r="B138" s="3" t="s">
        <v>112</v>
      </c>
      <c r="C138" s="12" t="s">
        <v>5</v>
      </c>
      <c r="D138" s="29">
        <f>INDEX(Table2[CA weight],MATCH(Table1[[#This Row],[Module Code]],Table2[Module Code],0))</f>
        <v>60</v>
      </c>
      <c r="E138" s="29">
        <f>INDEX(Table2[Credits],MATCH(Table1[[#This Row],[Module Code]],Table2[Module Code],0))</f>
        <v>10</v>
      </c>
      <c r="F138" s="12" t="s">
        <v>206</v>
      </c>
      <c r="G138" s="11" t="s">
        <v>229</v>
      </c>
      <c r="H138" s="11" t="s">
        <v>299</v>
      </c>
      <c r="I138" s="11">
        <v>3</v>
      </c>
      <c r="J138" s="11">
        <f>IFERROR(AVERAGEIF(Table1[[#This Row],[Autumn Week 1]:[Spring Exams]],"&gt;0",Table1[[#This Row],[Autumn Week 1]:[Spring Exams]])*4*Table1[[#This Row],[Credits]],0)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/>
      <c r="AI138" s="20"/>
      <c r="AJ138" s="20"/>
      <c r="AK138" s="27">
        <f>SUMIF(Table1[[#This Row],[Autumn Week 1]:[Spring Week 12]],"&gt;0",Table1[[#This Row],[Autumn Week 1]:[Spring Week 12]])</f>
        <v>0.1</v>
      </c>
      <c r="AL138" s="27">
        <f>IF(Table1[[#This Row],[Hours]]&gt;0,Table1[[#This Row],[Hours]],Table1[[#This Row],[Nominal Hours]])*COUNTIF(Table1[[#This Row],[Autumn Week 1]:[Spring Week 12]],"&gt;0")</f>
        <v>4</v>
      </c>
    </row>
    <row r="139" spans="1:38">
      <c r="A139" s="3" t="s">
        <v>192</v>
      </c>
      <c r="B139" s="3" t="s">
        <v>112</v>
      </c>
      <c r="C139" s="12" t="s">
        <v>121</v>
      </c>
      <c r="D139" s="29">
        <f>INDEX(Table2[CA weight],MATCH(Table1[[#This Row],[Module Code]],Table2[Module Code],0))</f>
        <v>60</v>
      </c>
      <c r="E139" s="29">
        <f>INDEX(Table2[Credits],MATCH(Table1[[#This Row],[Module Code]],Table2[Module Code],0))</f>
        <v>10</v>
      </c>
      <c r="F139" s="12" t="s">
        <v>336</v>
      </c>
      <c r="G139" s="11" t="s">
        <v>229</v>
      </c>
      <c r="H139" s="11" t="s">
        <v>309</v>
      </c>
      <c r="I139" s="11">
        <v>2</v>
      </c>
      <c r="J139" s="11">
        <f>IFERROR(AVERAGEIF(Table1[[#This Row],[Autumn Week 1]:[Spring Exams]],"&gt;0",Table1[[#This Row],[Autumn Week 1]:[Spring Exams]])*4*Table1[[#This Row],[Credits]],0)</f>
        <v>12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>
        <v>0.3</v>
      </c>
      <c r="AI139" s="20"/>
      <c r="AJ139" s="20"/>
      <c r="AK139" s="27">
        <f>SUMIF(Table1[[#This Row],[Autumn Week 1]:[Spring Week 12]],"&gt;0",Table1[[#This Row],[Autumn Week 1]:[Spring Week 12]])</f>
        <v>0.3</v>
      </c>
      <c r="AL139" s="27">
        <f>IF(Table1[[#This Row],[Hours]]&gt;0,Table1[[#This Row],[Hours]],Table1[[#This Row],[Nominal Hours]])*COUNTIF(Table1[[#This Row],[Autumn Week 1]:[Spring Week 12]],"&gt;0")</f>
        <v>12</v>
      </c>
    </row>
    <row r="140" spans="1:38" ht="28">
      <c r="A140" s="3" t="s">
        <v>193</v>
      </c>
      <c r="B140" s="3" t="s">
        <v>113</v>
      </c>
      <c r="C140" s="11" t="s">
        <v>125</v>
      </c>
      <c r="D140" s="29">
        <f>INDEX(Table2[CA weight],MATCH(Table1[[#This Row],[Module Code]],Table2[Module Code],0))</f>
        <v>20</v>
      </c>
      <c r="E140" s="29">
        <f>INDEX(Table2[Credits],MATCH(Table1[[#This Row],[Module Code]],Table2[Module Code],0))</f>
        <v>10</v>
      </c>
      <c r="F140" s="37" t="s">
        <v>287</v>
      </c>
      <c r="G140" s="11" t="s">
        <v>229</v>
      </c>
      <c r="H140" s="11" t="s">
        <v>353</v>
      </c>
      <c r="I140" s="11">
        <v>1</v>
      </c>
      <c r="J140" s="11">
        <f>IFERROR(AVERAGEIF(Table1[[#This Row],[Autumn Week 1]:[Spring Exams]],"&gt;0",Table1[[#This Row],[Autumn Week 1]:[Spring Exams]])*4*Table1[[#This Row],[Credits]],0)</f>
        <v>0.8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>
        <v>0.02</v>
      </c>
      <c r="Z140" s="20">
        <v>0.02</v>
      </c>
      <c r="AA140" s="20">
        <v>0.02</v>
      </c>
      <c r="AB140" s="20">
        <v>0.02</v>
      </c>
      <c r="AC140" s="20">
        <v>0.02</v>
      </c>
      <c r="AD140" s="20"/>
      <c r="AE140" s="20"/>
      <c r="AF140" s="20"/>
      <c r="AG140" s="20"/>
      <c r="AH140" s="20"/>
      <c r="AI140" s="20"/>
      <c r="AJ140" s="20"/>
      <c r="AK140" s="27">
        <f>SUMIF(Table1[[#This Row],[Autumn Week 1]:[Spring Week 12]],"&gt;0",Table1[[#This Row],[Autumn Week 1]:[Spring Week 12]])</f>
        <v>0.1</v>
      </c>
      <c r="AL140" s="27">
        <f>IF(Table1[[#This Row],[Hours]]&gt;0,Table1[[#This Row],[Hours]],Table1[[#This Row],[Nominal Hours]])*COUNTIF(Table1[[#This Row],[Autumn Week 1]:[Spring Week 12]],"&gt;0")</f>
        <v>2.5</v>
      </c>
    </row>
    <row r="141" spans="1:38" ht="28">
      <c r="A141" s="3" t="s">
        <v>193</v>
      </c>
      <c r="B141" s="3" t="s">
        <v>113</v>
      </c>
      <c r="C141" s="11" t="s">
        <v>125</v>
      </c>
      <c r="D141" s="29">
        <f>INDEX(Table2[CA weight],MATCH(Table1[[#This Row],[Module Code]],Table2[Module Code],0))</f>
        <v>20</v>
      </c>
      <c r="E141" s="29">
        <f>INDEX(Table2[Credits],MATCH(Table1[[#This Row],[Module Code]],Table2[Module Code],0))</f>
        <v>10</v>
      </c>
      <c r="F141" s="37" t="s">
        <v>288</v>
      </c>
      <c r="G141" s="11" t="s">
        <v>229</v>
      </c>
      <c r="H141" s="11" t="s">
        <v>353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0.8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/>
      <c r="AD141" s="20">
        <v>0.02</v>
      </c>
      <c r="AE141" s="20">
        <v>0.02</v>
      </c>
      <c r="AF141" s="20">
        <v>0.02</v>
      </c>
      <c r="AG141" s="20">
        <v>0.02</v>
      </c>
      <c r="AH141" s="20">
        <v>0.02</v>
      </c>
      <c r="AI141" s="20"/>
      <c r="AJ141" s="20"/>
      <c r="AK141" s="27">
        <f>SUMIF(Table1[[#This Row],[Autumn Week 1]:[Spring Week 12]],"&gt;0",Table1[[#This Row],[Autumn Week 1]:[Spring Week 12]])</f>
        <v>0.1</v>
      </c>
      <c r="AL141" s="27">
        <f>IF(Table1[[#This Row],[Hours]]&gt;0,Table1[[#This Row],[Hours]],Table1[[#This Row],[Nominal Hours]])*COUNTIF(Table1[[#This Row],[Autumn Week 1]:[Spring Week 12]],"&gt;0")</f>
        <v>2.5</v>
      </c>
    </row>
    <row r="142" spans="1:38">
      <c r="A142" s="3" t="s">
        <v>114</v>
      </c>
      <c r="B142" s="3" t="s">
        <v>115</v>
      </c>
      <c r="C142" s="12" t="s">
        <v>5</v>
      </c>
      <c r="D142" s="29">
        <f>INDEX(Table2[CA weight],MATCH(Table1[[#This Row],[Module Code]],Table2[Module Code],0))</f>
        <v>100</v>
      </c>
      <c r="E142" s="29">
        <f>INDEX(Table2[Credits],MATCH(Table1[[#This Row],[Module Code]],Table2[Module Code],0))</f>
        <v>10</v>
      </c>
      <c r="F142" s="12" t="s">
        <v>268</v>
      </c>
      <c r="G142" s="11" t="s">
        <v>229</v>
      </c>
      <c r="H142" s="11" t="s">
        <v>299</v>
      </c>
      <c r="I142" s="11">
        <v>3</v>
      </c>
      <c r="J142" s="11">
        <f>IFERROR(AVERAGEIF(Table1[[#This Row],[Autumn Week 1]:[Spring Exams]],"&gt;0",Table1[[#This Row],[Autumn Week 1]:[Spring Exams]])*4*Table1[[#This Row],[Credits]],0)</f>
        <v>16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0.4</v>
      </c>
      <c r="AE142" s="20"/>
      <c r="AF142" s="20"/>
      <c r="AG142" s="20"/>
      <c r="AH142" s="20"/>
      <c r="AI142" s="20"/>
      <c r="AJ142" s="20"/>
      <c r="AK142" s="27">
        <f>SUMIF(Table1[[#This Row],[Autumn Week 1]:[Spring Week 12]],"&gt;0",Table1[[#This Row],[Autumn Week 1]:[Spring Week 12]])</f>
        <v>0.4</v>
      </c>
      <c r="AL142" s="27">
        <f>IF(Table1[[#This Row],[Hours]]&gt;0,Table1[[#This Row],[Hours]],Table1[[#This Row],[Nominal Hours]])*COUNTIF(Table1[[#This Row],[Autumn Week 1]:[Spring Week 12]],"&gt;0")</f>
        <v>16</v>
      </c>
    </row>
    <row r="143" spans="1:38">
      <c r="A143" s="3" t="s">
        <v>114</v>
      </c>
      <c r="B143" s="3" t="s">
        <v>115</v>
      </c>
      <c r="C143" s="12" t="s">
        <v>123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201</v>
      </c>
      <c r="G143" s="11" t="s">
        <v>229</v>
      </c>
      <c r="H143" s="11" t="s">
        <v>299</v>
      </c>
      <c r="I143" s="11">
        <v>3</v>
      </c>
      <c r="J143" s="11">
        <f>IFERROR(AVERAGEIF(Table1[[#This Row],[Autumn Week 1]:[Spring Exams]],"&gt;0",Table1[[#This Row],[Autumn Week 1]:[Spring Exams]])*4*Table1[[#This Row],[Credits]],0)</f>
        <v>22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>
        <v>0.55000000000000004</v>
      </c>
      <c r="AH143" s="20"/>
      <c r="AI143" s="20"/>
      <c r="AJ143" s="20"/>
      <c r="AK143" s="27">
        <f>SUMIF(Table1[[#This Row],[Autumn Week 1]:[Spring Week 12]],"&gt;0",Table1[[#This Row],[Autumn Week 1]:[Spring Week 12]])</f>
        <v>0.55000000000000004</v>
      </c>
      <c r="AL143" s="27">
        <f>IF(Table1[[#This Row],[Hours]]&gt;0,Table1[[#This Row],[Hours]],Table1[[#This Row],[Nominal Hours]])*COUNTIF(Table1[[#This Row],[Autumn Week 1]:[Spring Week 12]],"&gt;0")</f>
        <v>22</v>
      </c>
    </row>
    <row r="144" spans="1:38">
      <c r="A144" s="3" t="s">
        <v>114</v>
      </c>
      <c r="B144" s="3" t="s">
        <v>115</v>
      </c>
      <c r="C144" s="12" t="s">
        <v>122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259</v>
      </c>
      <c r="G144" s="11" t="s">
        <v>229</v>
      </c>
      <c r="H144" s="11" t="s">
        <v>299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2</v>
      </c>
      <c r="K144" s="11">
        <v>0.5</v>
      </c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>
        <v>0.05</v>
      </c>
      <c r="AI144" s="20"/>
      <c r="AJ144" s="20"/>
      <c r="AK144" s="27">
        <f>SUMIF(Table1[[#This Row],[Autumn Week 1]:[Spring Week 12]],"&gt;0",Table1[[#This Row],[Autumn Week 1]:[Spring Week 12]])</f>
        <v>0.05</v>
      </c>
      <c r="AL144" s="27">
        <f>IF(Table1[[#This Row],[Hours]]&gt;0,Table1[[#This Row],[Hours]],Table1[[#This Row],[Nominal Hours]])*COUNTIF(Table1[[#This Row],[Autumn Week 1]:[Spring Week 12]],"&gt;0")</f>
        <v>0.5</v>
      </c>
    </row>
    <row r="145" spans="1:38" ht="28">
      <c r="A145" s="3" t="s">
        <v>239</v>
      </c>
      <c r="B145" s="28" t="s">
        <v>240</v>
      </c>
      <c r="C145" s="12" t="s">
        <v>4</v>
      </c>
      <c r="D145" s="29">
        <f>INDEX(Table2[CA weight],MATCH(Table1[[#This Row],[Module Code]],Table2[Module Code],0))</f>
        <v>50</v>
      </c>
      <c r="E145" s="29">
        <f>INDEX(Table2[Credits],MATCH(Table1[[#This Row],[Module Code]],Table2[Module Code],0))</f>
        <v>10</v>
      </c>
      <c r="F145" s="45" t="s">
        <v>286</v>
      </c>
      <c r="G145" s="11" t="s">
        <v>229</v>
      </c>
      <c r="H145" s="11" t="s">
        <v>305</v>
      </c>
      <c r="I145" s="11">
        <v>1</v>
      </c>
      <c r="J145" s="11">
        <f>IFERROR(AVERAGEIF(Table1[[#This Row],[Autumn Week 1]:[Spring Exams]],"&gt;0",Table1[[#This Row],[Autumn Week 1]:[Spring Exams]])*4*Table1[[#This Row],[Credits]],0)</f>
        <v>0.39999999999999991</v>
      </c>
      <c r="K145" s="11">
        <v>0.5</v>
      </c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>
        <v>-0.01</v>
      </c>
      <c r="Y145" s="20">
        <v>0.01</v>
      </c>
      <c r="Z145" s="20">
        <v>0.01</v>
      </c>
      <c r="AA145" s="20">
        <v>0.01</v>
      </c>
      <c r="AB145" s="20">
        <v>0.01</v>
      </c>
      <c r="AC145" s="20">
        <v>0.01</v>
      </c>
      <c r="AD145" s="20">
        <v>0.01</v>
      </c>
      <c r="AE145" s="20">
        <v>0.01</v>
      </c>
      <c r="AF145" s="20">
        <v>0.01</v>
      </c>
      <c r="AG145" s="20">
        <v>0.01</v>
      </c>
      <c r="AH145" s="20">
        <v>0.01</v>
      </c>
      <c r="AI145" s="20"/>
      <c r="AJ145" s="20"/>
      <c r="AK145" s="27">
        <f>SUMIF(Table1[[#This Row],[Autumn Week 1]:[Spring Week 12]],"&gt;0",Table1[[#This Row],[Autumn Week 1]:[Spring Week 12]])</f>
        <v>9.9999999999999992E-2</v>
      </c>
      <c r="AL145" s="27">
        <f>IF(Table1[[#This Row],[Hours]]&gt;0,Table1[[#This Row],[Hours]],Table1[[#This Row],[Nominal Hours]])*COUNTIF(Table1[[#This Row],[Autumn Week 1]:[Spring Week 12]],"&gt;0")</f>
        <v>5</v>
      </c>
    </row>
    <row r="146" spans="1:38">
      <c r="A146" s="3" t="s">
        <v>239</v>
      </c>
      <c r="B146" s="28" t="s">
        <v>240</v>
      </c>
      <c r="C146" s="12" t="s">
        <v>5</v>
      </c>
      <c r="D146" s="29">
        <f>INDEX(Table2[CA weight],MATCH(Table1[[#This Row],[Module Code]],Table2[Module Code],0))</f>
        <v>50</v>
      </c>
      <c r="E146" s="29">
        <f>INDEX(Table2[Credits],MATCH(Table1[[#This Row],[Module Code]],Table2[Module Code],0))</f>
        <v>10</v>
      </c>
      <c r="F146" s="12" t="s">
        <v>206</v>
      </c>
      <c r="G146" s="11" t="s">
        <v>229</v>
      </c>
      <c r="H146" s="11" t="s">
        <v>345</v>
      </c>
      <c r="I146" s="11">
        <v>4</v>
      </c>
      <c r="J146" s="11">
        <f>IFERROR(AVERAGEIF(Table1[[#This Row],[Autumn Week 1]:[Spring Exams]],"&gt;0",Table1[[#This Row],[Autumn Week 1]:[Spring Exams]])*4*Table1[[#This Row],[Credits]],0)</f>
        <v>8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>
        <v>0.2</v>
      </c>
      <c r="AD146" s="20">
        <v>-0.2</v>
      </c>
      <c r="AE146" s="20"/>
      <c r="AF146" s="20"/>
      <c r="AG146" s="20"/>
      <c r="AH146" s="20">
        <v>0.2</v>
      </c>
      <c r="AI146" s="20"/>
      <c r="AJ146" s="20"/>
      <c r="AK146" s="27">
        <f>SUMIF(Table1[[#This Row],[Autumn Week 1]:[Spring Week 12]],"&gt;0",Table1[[#This Row],[Autumn Week 1]:[Spring Week 12]])</f>
        <v>0.4</v>
      </c>
      <c r="AL146" s="27">
        <f>IF(Table1[[#This Row],[Hours]]&gt;0,Table1[[#This Row],[Hours]],Table1[[#This Row],[Nominal Hours]])*COUNTIF(Table1[[#This Row],[Autumn Week 1]:[Spring Week 12]],"&gt;0")</f>
        <v>16</v>
      </c>
    </row>
    <row r="147" spans="1:38" ht="28">
      <c r="A147" s="3" t="s">
        <v>116</v>
      </c>
      <c r="B147" s="3" t="s">
        <v>117</v>
      </c>
      <c r="C147" s="11" t="s">
        <v>125</v>
      </c>
      <c r="D147" s="29">
        <f>INDEX(Table2[CA weight],MATCH(Table1[[#This Row],[Module Code]],Table2[Module Code],0))</f>
        <v>30</v>
      </c>
      <c r="E147" s="29">
        <f>INDEX(Table2[Credits],MATCH(Table1[[#This Row],[Module Code]],Table2[Module Code],0))</f>
        <v>10</v>
      </c>
      <c r="F147" s="37" t="s">
        <v>289</v>
      </c>
      <c r="G147" s="11" t="s">
        <v>229</v>
      </c>
      <c r="H147" s="11" t="s">
        <v>299</v>
      </c>
      <c r="I147" s="11">
        <v>1</v>
      </c>
      <c r="J147" s="11">
        <f>IFERROR(AVERAGEIF(Table1[[#This Row],[Autumn Week 1]:[Spring Exams]],"&gt;0",Table1[[#This Row],[Autumn Week 1]:[Spring Exams]])*4*Table1[[#This Row],[Credits]],0)</f>
        <v>1.2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>
        <v>0.03</v>
      </c>
      <c r="Z147" s="20">
        <v>0.03</v>
      </c>
      <c r="AA147" s="20">
        <v>0.03</v>
      </c>
      <c r="AB147" s="20">
        <v>0.03</v>
      </c>
      <c r="AC147" s="20">
        <v>0.03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0.15</v>
      </c>
      <c r="AL147" s="27">
        <f>IF(Table1[[#This Row],[Hours]]&gt;0,Table1[[#This Row],[Hours]],Table1[[#This Row],[Nominal Hours]])*COUNTIF(Table1[[#This Row],[Autumn Week 1]:[Spring Week 12]],"&gt;0")</f>
        <v>6</v>
      </c>
    </row>
    <row r="148" spans="1:38" ht="28">
      <c r="A148" s="3" t="s">
        <v>116</v>
      </c>
      <c r="B148" s="3" t="s">
        <v>117</v>
      </c>
      <c r="C148" s="11" t="s">
        <v>125</v>
      </c>
      <c r="D148" s="29">
        <f>INDEX(Table2[CA weight],MATCH(Table1[[#This Row],[Module Code]],Table2[Module Code],0))</f>
        <v>30</v>
      </c>
      <c r="E148" s="29">
        <f>INDEX(Table2[Credits],MATCH(Table1[[#This Row],[Module Code]],Table2[Module Code],0))</f>
        <v>10</v>
      </c>
      <c r="F148" s="37" t="s">
        <v>290</v>
      </c>
      <c r="G148" s="11" t="s">
        <v>229</v>
      </c>
      <c r="H148" s="11" t="s">
        <v>299</v>
      </c>
      <c r="I148" s="11">
        <v>1</v>
      </c>
      <c r="J148" s="11">
        <f>IFERROR(AVERAGEIF(Table1[[#This Row],[Autumn Week 1]:[Spring Exams]],"&gt;0",Table1[[#This Row],[Autumn Week 1]:[Spring Exams]])*4*Table1[[#This Row],[Credits]],0)</f>
        <v>1.2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>
        <v>0.03</v>
      </c>
      <c r="AE148" s="20">
        <v>0.03</v>
      </c>
      <c r="AF148" s="20">
        <v>0.03</v>
      </c>
      <c r="AG148" s="20">
        <v>0.03</v>
      </c>
      <c r="AH148" s="20">
        <v>0.03</v>
      </c>
      <c r="AI148" s="20"/>
      <c r="AJ148" s="20"/>
      <c r="AK148" s="27">
        <f>SUMIF(Table1[[#This Row],[Autumn Week 1]:[Spring Week 12]],"&gt;0",Table1[[#This Row],[Autumn Week 1]:[Spring Week 12]])</f>
        <v>0.15</v>
      </c>
      <c r="AL148" s="27">
        <f>IF(Table1[[#This Row],[Hours]]&gt;0,Table1[[#This Row],[Hours]],Table1[[#This Row],[Nominal Hours]])*COUNTIF(Table1[[#This Row],[Autumn Week 1]:[Spring Week 12]],"&gt;0")</f>
        <v>6</v>
      </c>
    </row>
    <row r="149" spans="1:38">
      <c r="A149" s="3" t="s">
        <v>68</v>
      </c>
      <c r="B149" s="3" t="s">
        <v>159</v>
      </c>
      <c r="C149" s="12" t="s">
        <v>5</v>
      </c>
      <c r="D149" s="29">
        <f>INDEX(Table2[CA weight],MATCH(Table1[[#This Row],[Module Code]],Table2[Module Code],0))</f>
        <v>50</v>
      </c>
      <c r="E149" s="29">
        <f>INDEX(Table2[Credits],MATCH(Table1[[#This Row],[Module Code]],Table2[Module Code],0))</f>
        <v>10</v>
      </c>
      <c r="F149" s="12" t="s">
        <v>381</v>
      </c>
      <c r="G149" s="11" t="s">
        <v>229</v>
      </c>
      <c r="H149" s="11" t="s">
        <v>299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20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>
        <v>0.5</v>
      </c>
      <c r="AJ149" s="20"/>
      <c r="AK149" s="27">
        <f>SUMIF(Table1[[#This Row],[Autumn Week 1]:[Spring Week 12]],"&gt;0",Table1[[#This Row],[Autumn Week 1]:[Spring Week 12]])</f>
        <v>0.5</v>
      </c>
      <c r="AL149" s="27">
        <f>IF(Table1[[#This Row],[Hours]]&gt;0,Table1[[#This Row],[Hours]],Table1[[#This Row],[Nominal Hours]])*COUNTIF(Table1[[#This Row],[Autumn Week 1]:[Spring Week 12]],"&gt;0")</f>
        <v>20</v>
      </c>
    </row>
    <row r="150" spans="1:38">
      <c r="A150" s="3" t="s">
        <v>194</v>
      </c>
      <c r="B150" s="3" t="s">
        <v>118</v>
      </c>
      <c r="C150" s="12" t="s">
        <v>5</v>
      </c>
      <c r="D150" s="29">
        <f>INDEX(Table2[CA weight],MATCH(Table1[[#This Row],[Module Code]],Table2[Module Code],0))</f>
        <v>40</v>
      </c>
      <c r="E150" s="29">
        <f>INDEX(Table2[Credits],MATCH(Table1[[#This Row],[Module Code]],Table2[Module Code],0))</f>
        <v>10</v>
      </c>
      <c r="F150" s="12" t="s">
        <v>277</v>
      </c>
      <c r="G150" s="11" t="s">
        <v>229</v>
      </c>
      <c r="H150" s="11" t="s">
        <v>299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4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>
        <v>0.1</v>
      </c>
      <c r="AB150" s="20"/>
      <c r="AC150" s="20"/>
      <c r="AD150" s="20"/>
      <c r="AE150" s="20"/>
      <c r="AF150" s="20"/>
      <c r="AG150" s="20"/>
      <c r="AH150" s="20">
        <v>0.1</v>
      </c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194</v>
      </c>
      <c r="B151" s="3" t="s">
        <v>118</v>
      </c>
      <c r="C151" s="12" t="s">
        <v>5</v>
      </c>
      <c r="D151" s="29">
        <f>INDEX(Table2[CA weight],MATCH(Table1[[#This Row],[Module Code]],Table2[Module Code],0))</f>
        <v>40</v>
      </c>
      <c r="E151" s="29">
        <f>INDEX(Table2[Credits],MATCH(Table1[[#This Row],[Module Code]],Table2[Module Code],0))</f>
        <v>10</v>
      </c>
      <c r="F151" s="12" t="s">
        <v>269</v>
      </c>
      <c r="G151" s="11" t="s">
        <v>229</v>
      </c>
      <c r="H151" s="11" t="s">
        <v>299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8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>
        <v>0.2</v>
      </c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0.2</v>
      </c>
      <c r="AL151" s="27">
        <f>IF(Table1[[#This Row],[Hours]]&gt;0,Table1[[#This Row],[Hours]],Table1[[#This Row],[Nominal Hours]])*COUNTIF(Table1[[#This Row],[Autumn Week 1]:[Spring Week 12]],"&gt;0")</f>
        <v>8</v>
      </c>
    </row>
    <row r="152" spans="1:38">
      <c r="A152" s="3" t="s">
        <v>195</v>
      </c>
      <c r="B152" s="3" t="s">
        <v>119</v>
      </c>
      <c r="C152" s="12" t="s">
        <v>5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10</v>
      </c>
      <c r="F152" s="12" t="s">
        <v>344</v>
      </c>
      <c r="G152" s="11" t="s">
        <v>229</v>
      </c>
      <c r="H152" s="11" t="s">
        <v>299</v>
      </c>
      <c r="I152" s="11">
        <v>3</v>
      </c>
      <c r="J152" s="11">
        <f>IFERROR(AVERAGEIF(Table1[[#This Row],[Autumn Week 1]:[Spring Exams]],"&gt;0",Table1[[#This Row],[Autumn Week 1]:[Spring Exams]])*4*Table1[[#This Row],[Credits]],0)</f>
        <v>12</v>
      </c>
      <c r="K152" s="11"/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>
        <v>0.3</v>
      </c>
      <c r="AB152" s="20"/>
      <c r="AC152" s="20"/>
      <c r="AD152" s="20"/>
      <c r="AE152" s="20"/>
      <c r="AF152" s="20"/>
      <c r="AG152" s="20"/>
      <c r="AH152" s="20"/>
      <c r="AI152" s="20"/>
      <c r="AJ152" s="20"/>
      <c r="AK152" s="27">
        <f>SUMIF(Table1[[#This Row],[Autumn Week 1]:[Spring Week 12]],"&gt;0",Table1[[#This Row],[Autumn Week 1]:[Spring Week 12]])</f>
        <v>0.3</v>
      </c>
      <c r="AL152" s="27">
        <f>IF(Table1[[#This Row],[Hours]]&gt;0,Table1[[#This Row],[Hours]],Table1[[#This Row],[Nominal Hours]])*COUNTIF(Table1[[#This Row],[Autumn Week 1]:[Spring Week 12]],"&gt;0")</f>
        <v>12</v>
      </c>
    </row>
    <row r="153" spans="1:38">
      <c r="A153" s="3" t="s">
        <v>195</v>
      </c>
      <c r="B153" s="3" t="s">
        <v>119</v>
      </c>
      <c r="C153" s="12" t="s">
        <v>5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10</v>
      </c>
      <c r="F153" s="12" t="s">
        <v>380</v>
      </c>
      <c r="G153" s="11" t="s">
        <v>229</v>
      </c>
      <c r="H153" s="11" t="s">
        <v>299</v>
      </c>
      <c r="I153" s="11">
        <v>3</v>
      </c>
      <c r="J153" s="11">
        <f>IFERROR(AVERAGEIF(Table1[[#This Row],[Autumn Week 1]:[Spring Exams]],"&gt;0",Table1[[#This Row],[Autumn Week 1]:[Spring Exams]])*4*Table1[[#This Row],[Credits]],0)</f>
        <v>8</v>
      </c>
      <c r="K153" s="11"/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>
        <v>0.2</v>
      </c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0.2</v>
      </c>
      <c r="AL153" s="27">
        <f>IF(Table1[[#This Row],[Hours]]&gt;0,Table1[[#This Row],[Hours]],Table1[[#This Row],[Nominal Hours]])*COUNTIF(Table1[[#This Row],[Autumn Week 1]:[Spring Week 12]],"&gt;0")</f>
        <v>8</v>
      </c>
    </row>
    <row r="154" spans="1:38">
      <c r="A154" s="3" t="s">
        <v>195</v>
      </c>
      <c r="B154" s="3" t="s">
        <v>119</v>
      </c>
      <c r="C154" s="12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2" t="s">
        <v>272</v>
      </c>
      <c r="G154" s="11" t="s">
        <v>229</v>
      </c>
      <c r="H154" s="11" t="s">
        <v>299</v>
      </c>
      <c r="I154" s="11">
        <v>3</v>
      </c>
      <c r="J154" s="11">
        <f>IFERROR(AVERAGEIF(Table1[[#This Row],[Autumn Week 1]:[Spring Exams]],"&gt;0",Table1[[#This Row],[Autumn Week 1]:[Spring Exams]])*4*Table1[[#This Row],[Credits]],0)</f>
        <v>12</v>
      </c>
      <c r="K154" s="11"/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>
        <v>0.3</v>
      </c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0.3</v>
      </c>
      <c r="AL154" s="27">
        <f>IF(Table1[[#This Row],[Hours]]&gt;0,Table1[[#This Row],[Hours]],Table1[[#This Row],[Nominal Hours]])*COUNTIF(Table1[[#This Row],[Autumn Week 1]:[Spring Week 12]],"&gt;0")</f>
        <v>12</v>
      </c>
    </row>
    <row r="155" spans="1:38">
      <c r="A155" s="3" t="s">
        <v>195</v>
      </c>
      <c r="B155" s="3" t="s">
        <v>119</v>
      </c>
      <c r="C155" s="12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2" t="s">
        <v>273</v>
      </c>
      <c r="G155" s="11" t="s">
        <v>229</v>
      </c>
      <c r="H155" s="11" t="s">
        <v>299</v>
      </c>
      <c r="I155" s="11">
        <v>3</v>
      </c>
      <c r="J155" s="11">
        <f>IFERROR(AVERAGEIF(Table1[[#This Row],[Autumn Week 1]:[Spring Exams]],"&gt;0",Table1[[#This Row],[Autumn Week 1]:[Spring Exams]])*4*Table1[[#This Row],[Credits]],0)</f>
        <v>8</v>
      </c>
      <c r="K155" s="11"/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>
        <v>0.2</v>
      </c>
      <c r="AI155" s="20"/>
      <c r="AJ155" s="20"/>
      <c r="AK155" s="27">
        <f>SUMIF(Table1[[#This Row],[Autumn Week 1]:[Spring Week 12]],"&gt;0",Table1[[#This Row],[Autumn Week 1]:[Spring Week 12]])</f>
        <v>0.2</v>
      </c>
      <c r="AL155" s="27">
        <f>IF(Table1[[#This Row],[Hours]]&gt;0,Table1[[#This Row],[Hours]],Table1[[#This Row],[Nominal Hours]])*COUNTIF(Table1[[#This Row],[Autumn Week 1]:[Spring Week 12]],"&gt;0")</f>
        <v>8</v>
      </c>
    </row>
    <row r="156" spans="1:38">
      <c r="A156" s="3" t="s">
        <v>74</v>
      </c>
      <c r="B156" s="28" t="s">
        <v>23</v>
      </c>
      <c r="C156" s="11" t="s">
        <v>123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231</v>
      </c>
      <c r="G156" s="11" t="s">
        <v>338</v>
      </c>
      <c r="H156" s="11" t="s">
        <v>360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9.9999999999999964</v>
      </c>
      <c r="K156" s="11">
        <v>20</v>
      </c>
      <c r="L156" s="18">
        <f>1/24</f>
        <v>4.1666666666666664E-2</v>
      </c>
      <c r="M156" s="18">
        <v>4.1666666666666664E-2</v>
      </c>
      <c r="N156" s="18">
        <v>4.1666666666666664E-2</v>
      </c>
      <c r="O156" s="19">
        <v>4.1666666666666664E-2</v>
      </c>
      <c r="P156" s="18">
        <v>4.1666666666666664E-2</v>
      </c>
      <c r="Q156" s="18">
        <v>4.1666666666666664E-2</v>
      </c>
      <c r="R156" s="18">
        <v>4.1666666666666664E-2</v>
      </c>
      <c r="S156" s="19">
        <v>4.1666666666666664E-2</v>
      </c>
      <c r="T156" s="18">
        <v>4.1666666666666664E-2</v>
      </c>
      <c r="U156" s="18">
        <v>4.1666666666666664E-2</v>
      </c>
      <c r="V156" s="18">
        <v>4.1666666666666664E-2</v>
      </c>
      <c r="W156" s="19">
        <v>4.1666666666666664E-2</v>
      </c>
      <c r="X156" s="20">
        <v>4.1666666666666664E-2</v>
      </c>
      <c r="Y156" s="20">
        <v>4.1666666666666664E-2</v>
      </c>
      <c r="Z156" s="20">
        <v>4.1666666666666664E-2</v>
      </c>
      <c r="AA156" s="20">
        <v>4.1666666666666664E-2</v>
      </c>
      <c r="AB156" s="20">
        <v>4.1666666666666664E-2</v>
      </c>
      <c r="AC156" s="20">
        <v>4.1666666666666664E-2</v>
      </c>
      <c r="AD156" s="20">
        <v>4.1666666666666664E-2</v>
      </c>
      <c r="AE156" s="20">
        <v>4.1666666666666664E-2</v>
      </c>
      <c r="AF156" s="20">
        <v>4.1666666666666664E-2</v>
      </c>
      <c r="AG156" s="20">
        <v>4.1666666666666664E-2</v>
      </c>
      <c r="AH156" s="20">
        <v>4.1666666666666664E-2</v>
      </c>
      <c r="AI156" s="20">
        <v>4.1666666666666664E-2</v>
      </c>
      <c r="AJ156" s="20"/>
      <c r="AK156" s="27">
        <f>SUMIF(Table1[[#This Row],[Autumn Week 1]:[Spring Week 12]],"&gt;0",Table1[[#This Row],[Autumn Week 1]:[Spring Week 12]])</f>
        <v>0.99999999999999956</v>
      </c>
      <c r="AL156" s="27">
        <f>IF(Table1[[#This Row],[Hours]]&gt;0,Table1[[#This Row],[Hours]],Table1[[#This Row],[Nominal Hours]])*COUNTIF(Table1[[#This Row],[Autumn Week 1]:[Spring Week 12]],"&gt;0")</f>
        <v>480</v>
      </c>
    </row>
    <row r="157" spans="1:38">
      <c r="A157" s="4" t="s">
        <v>74</v>
      </c>
      <c r="B157" s="2" t="s">
        <v>23</v>
      </c>
      <c r="C157" s="11" t="s">
        <v>122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332</v>
      </c>
      <c r="G157" s="11" t="s">
        <v>220</v>
      </c>
      <c r="H157" s="11" t="s">
        <v>299</v>
      </c>
      <c r="I157" s="11">
        <v>5</v>
      </c>
      <c r="J157" s="11">
        <f>IFERROR(AVERAGEIF(Table1[[#This Row],[Autumn Week 1]:[Spring Exams]],"&gt;0",Table1[[#This Row],[Autumn Week 1]:[Spring Exams]])*4*Table1[[#This Row],[Credits]],0)</f>
        <v>10</v>
      </c>
      <c r="K157" s="11">
        <v>0.1</v>
      </c>
      <c r="L157" s="18"/>
      <c r="M157" s="18"/>
      <c r="N157" s="18"/>
      <c r="O157" s="19"/>
      <c r="P157" s="18"/>
      <c r="Q157" s="18">
        <v>2.5000000000000001E-2</v>
      </c>
      <c r="R157" s="18"/>
      <c r="S157" s="19"/>
      <c r="T157" s="18"/>
      <c r="U157" s="18"/>
      <c r="V157" s="18">
        <v>2.5000000000000001E-2</v>
      </c>
      <c r="W157" s="19"/>
      <c r="X157" s="20"/>
      <c r="Y157" s="20"/>
      <c r="Z157" s="20"/>
      <c r="AA157" s="20"/>
      <c r="AB157" s="20"/>
      <c r="AC157" s="20">
        <v>7.4999999999999997E-2</v>
      </c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0.125</v>
      </c>
      <c r="AL157" s="27">
        <f>IF(Table1[[#This Row],[Hours]]&gt;0,Table1[[#This Row],[Hours]],Table1[[#This Row],[Nominal Hours]])*COUNTIF(Table1[[#This Row],[Autumn Week 1]:[Spring Week 12]],"&gt;0")</f>
        <v>0.30000000000000004</v>
      </c>
    </row>
    <row r="158" spans="1:38">
      <c r="A158" s="4" t="s">
        <v>74</v>
      </c>
      <c r="B158" s="2" t="s">
        <v>23</v>
      </c>
      <c r="C158" s="11" t="s">
        <v>122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333</v>
      </c>
      <c r="G158" s="11" t="s">
        <v>229</v>
      </c>
      <c r="H158" s="11" t="s">
        <v>345</v>
      </c>
      <c r="I158" s="11">
        <v>5</v>
      </c>
      <c r="J158" s="11">
        <f>IFERROR(AVERAGEIF(Table1[[#This Row],[Autumn Week 1]:[Spring Exams]],"&gt;0",Table1[[#This Row],[Autumn Week 1]:[Spring Exams]])*4*Table1[[#This Row],[Credits]],0)</f>
        <v>60</v>
      </c>
      <c r="K158" s="11">
        <v>0.1</v>
      </c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>
        <v>0.25</v>
      </c>
      <c r="AJ158" s="20"/>
      <c r="AK158" s="27">
        <f>SUMIF(Table1[[#This Row],[Autumn Week 1]:[Spring Week 12]],"&gt;0",Table1[[#This Row],[Autumn Week 1]:[Spring Week 12]])</f>
        <v>0.25</v>
      </c>
      <c r="AL158" s="27">
        <f>IF(Table1[[#This Row],[Hours]]&gt;0,Table1[[#This Row],[Hours]],Table1[[#This Row],[Nominal Hours]])*COUNTIF(Table1[[#This Row],[Autumn Week 1]:[Spring Week 12]],"&gt;0")</f>
        <v>0.1</v>
      </c>
    </row>
    <row r="159" spans="1:38">
      <c r="A159" s="4" t="s">
        <v>74</v>
      </c>
      <c r="B159" s="2" t="s">
        <v>23</v>
      </c>
      <c r="C159" s="11" t="s">
        <v>124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11" t="s">
        <v>334</v>
      </c>
      <c r="G159" s="11" t="s">
        <v>229</v>
      </c>
      <c r="H159" s="11" t="s">
        <v>321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24</v>
      </c>
      <c r="K159" s="11">
        <v>1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>
        <v>0.1</v>
      </c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0.1</v>
      </c>
      <c r="AL159" s="27">
        <f>IF(Table1[[#This Row],[Hours]]&gt;0,Table1[[#This Row],[Hours]],Table1[[#This Row],[Nominal Hours]])*COUNTIF(Table1[[#This Row],[Autumn Week 1]:[Spring Week 12]],"&gt;0")</f>
        <v>1</v>
      </c>
    </row>
    <row r="160" spans="1:38">
      <c r="A160" s="4" t="s">
        <v>74</v>
      </c>
      <c r="B160" s="2" t="s">
        <v>23</v>
      </c>
      <c r="C160" s="11" t="s">
        <v>123</v>
      </c>
      <c r="D160" s="29">
        <f>INDEX(Table2[CA weight],MATCH(Table1[[#This Row],[Module Code]],Table2[Module Code],0))</f>
        <v>75</v>
      </c>
      <c r="E160" s="29">
        <f>INDEX(Table2[Credits],MATCH(Table1[[#This Row],[Module Code]],Table2[Module Code],0))</f>
        <v>60</v>
      </c>
      <c r="F160" s="11" t="s">
        <v>335</v>
      </c>
      <c r="G160" s="11" t="s">
        <v>220</v>
      </c>
      <c r="H160" s="11" t="s">
        <v>299</v>
      </c>
      <c r="I160" s="11">
        <v>11</v>
      </c>
      <c r="J160" s="11">
        <f>IFERROR(AVERAGEIF(Table1[[#This Row],[Autumn Week 1]:[Spring Exams]],"&gt;0",Table1[[#This Row],[Autumn Week 1]:[Spring Exams]])*4*Table1[[#This Row],[Credits]],0)</f>
        <v>48</v>
      </c>
      <c r="K160" s="11">
        <v>10</v>
      </c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10</v>
      </c>
    </row>
    <row r="161" spans="1:38">
      <c r="A161" s="4" t="s">
        <v>74</v>
      </c>
      <c r="B161" s="2" t="s">
        <v>23</v>
      </c>
      <c r="C161" s="11" t="s">
        <v>123</v>
      </c>
      <c r="D161" s="29">
        <f>INDEX(Table2[CA weight],MATCH(Table1[[#This Row],[Module Code]],Table2[Module Code],0))</f>
        <v>75</v>
      </c>
      <c r="E161" s="29">
        <f>INDEX(Table2[Credits],MATCH(Table1[[#This Row],[Module Code]],Table2[Module Code],0))</f>
        <v>60</v>
      </c>
      <c r="F161" s="11" t="s">
        <v>232</v>
      </c>
      <c r="G161" s="11" t="s">
        <v>229</v>
      </c>
      <c r="H161" s="11" t="s">
        <v>345</v>
      </c>
      <c r="I161" s="11">
        <v>11</v>
      </c>
      <c r="J161" s="11">
        <f>IFERROR(AVERAGEIF(Table1[[#This Row],[Autumn Week 1]:[Spring Exams]],"&gt;0",Table1[[#This Row],[Autumn Week 1]:[Spring Exams]])*4*Table1[[#This Row],[Credits]],0)</f>
        <v>96</v>
      </c>
      <c r="K161" s="11">
        <v>10</v>
      </c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>
        <v>0.4</v>
      </c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10</v>
      </c>
    </row>
    <row r="162" spans="1:38">
      <c r="A162" s="4" t="s">
        <v>74</v>
      </c>
      <c r="B162" s="2" t="s">
        <v>23</v>
      </c>
      <c r="C162" s="11" t="s">
        <v>121</v>
      </c>
      <c r="D162" s="29">
        <f>INDEX(Table2[CA weight],MATCH(Table1[[#This Row],[Module Code]],Table2[Module Code],0))</f>
        <v>75</v>
      </c>
      <c r="E162" s="29">
        <f>INDEX(Table2[Credits],MATCH(Table1[[#This Row],[Module Code]],Table2[Module Code],0))</f>
        <v>60</v>
      </c>
      <c r="F162" s="11" t="s">
        <v>336</v>
      </c>
      <c r="G162" s="11" t="s">
        <v>229</v>
      </c>
      <c r="H162" s="11" t="s">
        <v>309</v>
      </c>
      <c r="I162" s="11">
        <v>1</v>
      </c>
      <c r="J162" s="11">
        <f>IFERROR(AVERAGEIF(Table1[[#This Row],[Autumn Week 1]:[Spring Exams]],"&gt;0",Table1[[#This Row],[Autumn Week 1]:[Spring Exams]])*4*Table1[[#This Row],[Credits]],0)</f>
        <v>36</v>
      </c>
      <c r="K162" s="11">
        <v>15</v>
      </c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>
        <v>0.15</v>
      </c>
      <c r="AK162" s="27">
        <f>SUMIF(Table1[[#This Row],[Autumn Week 1]:[Spring Week 12]],"&gt;0",Table1[[#This Row],[Autumn Week 1]:[Spring Week 12]])</f>
        <v>0</v>
      </c>
      <c r="AL162" s="27">
        <f>IF(Table1[[#This Row],[Hours]]&gt;0,Table1[[#This Row],[Hours]],Table1[[#This Row],[Nominal Hours]])*COUNTIF(Table1[[#This Row],[Autumn Week 1]:[Spring Week 12]],"&gt;0")</f>
        <v>0</v>
      </c>
    </row>
    <row r="163" spans="1:38">
      <c r="A163" s="4" t="s">
        <v>74</v>
      </c>
      <c r="B163" s="2" t="s">
        <v>23</v>
      </c>
      <c r="C163" s="11" t="s">
        <v>307</v>
      </c>
      <c r="D163" s="29">
        <f>INDEX(Table2[CA weight],MATCH(Table1[[#This Row],[Module Code]],Table2[Module Code],0))</f>
        <v>75</v>
      </c>
      <c r="E163" s="29">
        <f>INDEX(Table2[Credits],MATCH(Table1[[#This Row],[Module Code]],Table2[Module Code],0))</f>
        <v>60</v>
      </c>
      <c r="F163" s="37" t="s">
        <v>337</v>
      </c>
      <c r="G163" s="11" t="s">
        <v>229</v>
      </c>
      <c r="H163" s="11" t="s">
        <v>309</v>
      </c>
      <c r="I163" s="11">
        <v>1</v>
      </c>
      <c r="J163" s="11">
        <f>IFERROR(AVERAGEIF(Table1[[#This Row],[Autumn Week 1]:[Spring Exams]],"&gt;0",Table1[[#This Row],[Autumn Week 1]:[Spring Exams]])*4*Table1[[#This Row],[Credits]],0)</f>
        <v>36</v>
      </c>
      <c r="K163" s="11">
        <v>2</v>
      </c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>
        <v>0.15</v>
      </c>
      <c r="AK163" s="27">
        <f>SUMIF(Table1[[#This Row],[Autumn Week 1]:[Spring Week 12]],"&gt;0",Table1[[#This Row],[Autumn Week 1]:[Spring Week 12]])</f>
        <v>0</v>
      </c>
      <c r="AL163" s="27">
        <f>IF(Table1[[#This Row],[Hours]]&gt;0,Table1[[#This Row],[Hours]],Table1[[#This Row],[Nominal Hours]])*COUNTIF(Table1[[#This Row],[Autumn Week 1]:[Spring Week 12]],"&gt;0")</f>
        <v>0</v>
      </c>
    </row>
    <row r="164" spans="1:38">
      <c r="A164" s="4" t="s">
        <v>244</v>
      </c>
      <c r="B164" s="2" t="s">
        <v>245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274</v>
      </c>
      <c r="G164" s="11" t="s">
        <v>229</v>
      </c>
      <c r="H164" s="11" t="s">
        <v>299</v>
      </c>
      <c r="I164" s="11">
        <v>2</v>
      </c>
      <c r="J164" s="11">
        <f>IFERROR(AVERAGEIF(Table1[[#This Row],[Autumn Week 1]:[Spring Exams]],"&gt;0",Table1[[#This Row],[Autumn Week 1]:[Spring Exams]])*4*Table1[[#This Row],[Credits]],0)</f>
        <v>16</v>
      </c>
      <c r="K164" s="11"/>
      <c r="L164" s="18"/>
      <c r="M164" s="18"/>
      <c r="N164" s="18"/>
      <c r="O164" s="19">
        <v>0.4</v>
      </c>
      <c r="P164" s="18"/>
      <c r="Q164" s="18"/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0.4</v>
      </c>
      <c r="AL164" s="27">
        <f>IF(Table1[[#This Row],[Hours]]&gt;0,Table1[[#This Row],[Hours]],Table1[[#This Row],[Nominal Hours]])*COUNTIF(Table1[[#This Row],[Autumn Week 1]:[Spring Week 12]],"&gt;0")</f>
        <v>16</v>
      </c>
    </row>
    <row r="165" spans="1:38">
      <c r="A165" s="4" t="s">
        <v>244</v>
      </c>
      <c r="B165" s="2" t="s">
        <v>245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275</v>
      </c>
      <c r="G165" s="11" t="s">
        <v>229</v>
      </c>
      <c r="H165" s="11" t="s">
        <v>299</v>
      </c>
      <c r="I165" s="11">
        <v>4</v>
      </c>
      <c r="J165" s="11">
        <f>IFERROR(AVERAGEIF(Table1[[#This Row],[Autumn Week 1]:[Spring Exams]],"&gt;0",Table1[[#This Row],[Autumn Week 1]:[Spring Exams]])*4*Table1[[#This Row],[Credits]],0)</f>
        <v>16</v>
      </c>
      <c r="K165" s="11"/>
      <c r="L165" s="18"/>
      <c r="M165" s="18"/>
      <c r="N165" s="18"/>
      <c r="O165" s="19"/>
      <c r="P165" s="18"/>
      <c r="Q165" s="18"/>
      <c r="R165" s="18"/>
      <c r="S165" s="19">
        <v>0.4</v>
      </c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0.4</v>
      </c>
      <c r="AL165" s="27">
        <f>IF(Table1[[#This Row],[Hours]]&gt;0,Table1[[#This Row],[Hours]],Table1[[#This Row],[Nominal Hours]])*COUNTIF(Table1[[#This Row],[Autumn Week 1]:[Spring Week 12]],"&gt;0")</f>
        <v>16</v>
      </c>
    </row>
    <row r="166" spans="1:38">
      <c r="A166" s="4" t="s">
        <v>244</v>
      </c>
      <c r="B166" s="2" t="s">
        <v>245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276</v>
      </c>
      <c r="G166" s="11" t="s">
        <v>229</v>
      </c>
      <c r="H166" s="11" t="s">
        <v>299</v>
      </c>
      <c r="I166" s="11">
        <v>3</v>
      </c>
      <c r="J166" s="11">
        <f>IFERROR(AVERAGEIF(Table1[[#This Row],[Autumn Week 1]:[Spring Exams]],"&gt;0",Table1[[#This Row],[Autumn Week 1]:[Spring Exams]])*4*Table1[[#This Row],[Credits]],0)</f>
        <v>8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0.2</v>
      </c>
      <c r="AL166" s="27">
        <f>IF(Table1[[#This Row],[Hours]]&gt;0,Table1[[#This Row],[Hours]],Table1[[#This Row],[Nominal Hours]])*COUNTIF(Table1[[#This Row],[Autumn Week 1]:[Spring Week 12]],"&gt;0")</f>
        <v>8</v>
      </c>
    </row>
    <row r="167" spans="1:38">
      <c r="A167" s="4" t="s">
        <v>246</v>
      </c>
      <c r="B167" s="2" t="s">
        <v>247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10</v>
      </c>
      <c r="F167" s="11" t="s">
        <v>205</v>
      </c>
      <c r="G167" s="11" t="s">
        <v>229</v>
      </c>
      <c r="H167" s="11" t="s">
        <v>299</v>
      </c>
      <c r="I167" s="11">
        <v>5</v>
      </c>
      <c r="J167" s="11">
        <f>IFERROR(AVERAGEIF(Table1[[#This Row],[Autumn Week 1]:[Spring Exams]],"&gt;0",Table1[[#This Row],[Autumn Week 1]:[Spring Exams]])*4*Table1[[#This Row],[Credits]],0)</f>
        <v>20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>
        <v>0.5</v>
      </c>
      <c r="AD167" s="20"/>
      <c r="AE167" s="20"/>
      <c r="AF167" s="20"/>
      <c r="AG167" s="20"/>
      <c r="AH167" s="20">
        <v>0.5</v>
      </c>
      <c r="AI167" s="20"/>
      <c r="AJ167" s="20"/>
      <c r="AK167" s="27">
        <f>SUMIF(Table1[[#This Row],[Autumn Week 1]:[Spring Week 12]],"&gt;0",Table1[[#This Row],[Autumn Week 1]:[Spring Week 12]])</f>
        <v>1</v>
      </c>
      <c r="AL167" s="27">
        <f>IF(Table1[[#This Row],[Hours]]&gt;0,Table1[[#This Row],[Hours]],Table1[[#This Row],[Nominal Hours]])*COUNTIF(Table1[[#This Row],[Autumn Week 1]:[Spring Week 12]],"&gt;0")</f>
        <v>40</v>
      </c>
    </row>
    <row r="168" spans="1:38">
      <c r="A168" s="4" t="s">
        <v>242</v>
      </c>
      <c r="B168" s="28" t="s">
        <v>243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10</v>
      </c>
      <c r="F168" s="11" t="s">
        <v>298</v>
      </c>
      <c r="G168" s="11" t="s">
        <v>229</v>
      </c>
      <c r="H168" s="11" t="s">
        <v>299</v>
      </c>
      <c r="I168" s="11">
        <v>1</v>
      </c>
      <c r="J168" s="11">
        <f>IFERROR(AVERAGEIF(Table1[[#This Row],[Autumn Week 1]:[Spring Exams]],"&gt;0",Table1[[#This Row],[Autumn Week 1]:[Spring Exams]])*4*Table1[[#This Row],[Credits]],0)</f>
        <v>1.9999999999999998</v>
      </c>
      <c r="K168" s="11"/>
      <c r="L168" s="18">
        <v>0.05</v>
      </c>
      <c r="M168" s="18">
        <v>0.05</v>
      </c>
      <c r="N168" s="18">
        <v>0.05</v>
      </c>
      <c r="O168" s="18">
        <v>0.05</v>
      </c>
      <c r="P168" s="18">
        <v>0.05</v>
      </c>
      <c r="Q168" s="18">
        <v>0.05</v>
      </c>
      <c r="R168" s="18">
        <v>0.05</v>
      </c>
      <c r="S168" s="18">
        <v>0.05</v>
      </c>
      <c r="T168" s="18">
        <v>0.05</v>
      </c>
      <c r="U168" s="18">
        <v>0.05</v>
      </c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0.49999999999999994</v>
      </c>
      <c r="AL168" s="27">
        <f>IF(Table1[[#This Row],[Hours]]&gt;0,Table1[[#This Row],[Hours]],Table1[[#This Row],[Nominal Hours]])*COUNTIF(Table1[[#This Row],[Autumn Week 1]:[Spring Week 12]],"&gt;0")</f>
        <v>19.999999999999996</v>
      </c>
    </row>
    <row r="169" spans="1:38">
      <c r="A169" s="4" t="s">
        <v>242</v>
      </c>
      <c r="B169" s="28" t="s">
        <v>243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10</v>
      </c>
      <c r="F169" s="11" t="s">
        <v>300</v>
      </c>
      <c r="G169" s="11" t="s">
        <v>229</v>
      </c>
      <c r="H169" s="11" t="s">
        <v>299</v>
      </c>
      <c r="I169" s="11">
        <v>1</v>
      </c>
      <c r="J169" s="11">
        <f>IFERROR(AVERAGEIF(Table1[[#This Row],[Autumn Week 1]:[Spring Exams]],"&gt;0",Table1[[#This Row],[Autumn Week 1]:[Spring Exams]])*4*Table1[[#This Row],[Credits]],0)</f>
        <v>0.79999999999999982</v>
      </c>
      <c r="K169" s="11"/>
      <c r="L169" s="18">
        <v>0.02</v>
      </c>
      <c r="M169" s="18">
        <v>0.02</v>
      </c>
      <c r="N169" s="18">
        <v>0.02</v>
      </c>
      <c r="O169" s="18">
        <v>0.02</v>
      </c>
      <c r="P169" s="18">
        <v>0.02</v>
      </c>
      <c r="Q169" s="18">
        <v>0.02</v>
      </c>
      <c r="R169" s="18">
        <v>0.02</v>
      </c>
      <c r="S169" s="18">
        <v>0.02</v>
      </c>
      <c r="T169" s="18">
        <v>0.02</v>
      </c>
      <c r="U169" s="18">
        <v>0.02</v>
      </c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0.19999999999999998</v>
      </c>
      <c r="AL169" s="27">
        <f>IF(Table1[[#This Row],[Hours]]&gt;0,Table1[[#This Row],[Hours]],Table1[[#This Row],[Nominal Hours]])*COUNTIF(Table1[[#This Row],[Autumn Week 1]:[Spring Week 12]],"&gt;0")</f>
        <v>7.9999999999999982</v>
      </c>
    </row>
    <row r="170" spans="1:38">
      <c r="A170" s="4" t="s">
        <v>242</v>
      </c>
      <c r="B170" s="28" t="s">
        <v>243</v>
      </c>
      <c r="C170" s="11" t="s">
        <v>5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10</v>
      </c>
      <c r="F170" s="11" t="s">
        <v>301</v>
      </c>
      <c r="G170" s="11" t="s">
        <v>229</v>
      </c>
      <c r="H170" s="11" t="s">
        <v>299</v>
      </c>
      <c r="I170" s="11">
        <v>11</v>
      </c>
      <c r="J170" s="11">
        <f>IFERROR(AVERAGEIF(Table1[[#This Row],[Autumn Week 1]:[Spring Exams]],"&gt;0",Table1[[#This Row],[Autumn Week 1]:[Spring Exams]])*4*Table1[[#This Row],[Credits]],0)</f>
        <v>12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0.3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0.3</v>
      </c>
      <c r="AL170" s="27">
        <f>IF(Table1[[#This Row],[Hours]]&gt;0,Table1[[#This Row],[Hours]],Table1[[#This Row],[Nominal Hours]])*COUNTIF(Table1[[#This Row],[Autumn Week 1]:[Spring Week 12]],"&gt;0")</f>
        <v>12</v>
      </c>
    </row>
    <row r="171" spans="1:38">
      <c r="A171" s="4" t="s">
        <v>181</v>
      </c>
      <c r="B171" s="2" t="s">
        <v>184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302</v>
      </c>
      <c r="G171" s="11" t="s">
        <v>220</v>
      </c>
      <c r="H171" s="11" t="s">
        <v>299</v>
      </c>
      <c r="I171" s="11">
        <v>2</v>
      </c>
      <c r="J171" s="11">
        <f>IFERROR(AVERAGEIF(Table1[[#This Row],[Autumn Week 1]:[Spring Exams]],"&gt;0",Table1[[#This Row],[Autumn Week 1]:[Spring Exams]])*4*Table1[[#This Row],[Credits]],0)</f>
        <v>4</v>
      </c>
      <c r="K171" s="11"/>
      <c r="L171" s="18"/>
      <c r="M171" s="18"/>
      <c r="N171" s="18">
        <v>0.05</v>
      </c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181</v>
      </c>
      <c r="B172" s="2" t="s">
        <v>184</v>
      </c>
      <c r="C172" s="11" t="s">
        <v>5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303</v>
      </c>
      <c r="G172" s="11" t="s">
        <v>220</v>
      </c>
      <c r="H172" s="11" t="s">
        <v>299</v>
      </c>
      <c r="I172" s="11">
        <v>2</v>
      </c>
      <c r="J172" s="11">
        <f>IFERROR(AVERAGEIF(Table1[[#This Row],[Autumn Week 1]:[Spring Exams]],"&gt;0",Table1[[#This Row],[Autumn Week 1]:[Spring Exams]])*4*Table1[[#This Row],[Credits]],0)</f>
        <v>4</v>
      </c>
      <c r="K172" s="11"/>
      <c r="L172" s="18"/>
      <c r="M172" s="18"/>
      <c r="N172" s="18">
        <v>0.05</v>
      </c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0.05</v>
      </c>
      <c r="AL172" s="27">
        <f>IF(Table1[[#This Row],[Hours]]&gt;0,Table1[[#This Row],[Hours]],Table1[[#This Row],[Nominal Hours]])*COUNTIF(Table1[[#This Row],[Autumn Week 1]:[Spring Week 12]],"&gt;0")</f>
        <v>4</v>
      </c>
    </row>
    <row r="173" spans="1:38">
      <c r="A173" s="4" t="s">
        <v>181</v>
      </c>
      <c r="B173" s="2" t="s">
        <v>184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304</v>
      </c>
      <c r="G173" s="11" t="s">
        <v>229</v>
      </c>
      <c r="H173" s="11" t="s">
        <v>305</v>
      </c>
      <c r="I173" s="11">
        <v>3</v>
      </c>
      <c r="J173" s="11">
        <f>IFERROR(AVERAGEIF(Table1[[#This Row],[Autumn Week 1]:[Spring Exams]],"&gt;0",Table1[[#This Row],[Autumn Week 1]:[Spring Exams]])*4*Table1[[#This Row],[Credits]],0)</f>
        <v>24</v>
      </c>
      <c r="K173" s="11"/>
      <c r="L173" s="18"/>
      <c r="M173" s="18"/>
      <c r="N173" s="18"/>
      <c r="O173" s="19">
        <v>0.3</v>
      </c>
      <c r="P173" s="18">
        <v>-0.3</v>
      </c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181</v>
      </c>
      <c r="B174" s="2" t="s">
        <v>184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265</v>
      </c>
      <c r="G174" s="11" t="s">
        <v>229</v>
      </c>
      <c r="H174" s="11" t="s">
        <v>299</v>
      </c>
      <c r="I174" s="11">
        <v>6</v>
      </c>
      <c r="J174" s="11">
        <f>IFERROR(AVERAGEIF(Table1[[#This Row],[Autumn Week 1]:[Spring Exams]],"&gt;0",Table1[[#This Row],[Autumn Week 1]:[Spring Exams]])*4*Table1[[#This Row],[Credits]],0)</f>
        <v>8</v>
      </c>
      <c r="K174" s="11">
        <v>4</v>
      </c>
      <c r="L174" s="18"/>
      <c r="M174" s="18"/>
      <c r="N174" s="18"/>
      <c r="O174" s="19"/>
      <c r="P174" s="18"/>
      <c r="Q174" s="18">
        <v>0.1</v>
      </c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0.1</v>
      </c>
      <c r="AL174" s="27">
        <f>IF(Table1[[#This Row],[Hours]]&gt;0,Table1[[#This Row],[Hours]],Table1[[#This Row],[Nominal Hours]])*COUNTIF(Table1[[#This Row],[Autumn Week 1]:[Spring Week 12]],"&gt;0")</f>
        <v>4</v>
      </c>
    </row>
    <row r="175" spans="1:38">
      <c r="A175" s="4" t="s">
        <v>181</v>
      </c>
      <c r="B175" s="2" t="s">
        <v>184</v>
      </c>
      <c r="C175" s="11" t="s">
        <v>122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306</v>
      </c>
      <c r="G175" s="11" t="s">
        <v>229</v>
      </c>
      <c r="H175" s="11" t="s">
        <v>299</v>
      </c>
      <c r="I175" s="11">
        <v>6</v>
      </c>
      <c r="J175" s="11">
        <f>IFERROR(AVERAGEIF(Table1[[#This Row],[Autumn Week 1]:[Spring Exams]],"&gt;0",Table1[[#This Row],[Autumn Week 1]:[Spring Exams]])*4*Table1[[#This Row],[Credits]],0)</f>
        <v>16</v>
      </c>
      <c r="K175" s="11">
        <v>0.5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>
        <v>0.2</v>
      </c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0.2</v>
      </c>
      <c r="AL175" s="27">
        <f>IF(Table1[[#This Row],[Hours]]&gt;0,Table1[[#This Row],[Hours]],Table1[[#This Row],[Nominal Hours]])*COUNTIF(Table1[[#This Row],[Autumn Week 1]:[Spring Week 12]],"&gt;0")</f>
        <v>0.5</v>
      </c>
    </row>
    <row r="176" spans="1:38">
      <c r="A176" s="4" t="s">
        <v>181</v>
      </c>
      <c r="B176" s="2" t="s">
        <v>184</v>
      </c>
      <c r="C176" s="11" t="s">
        <v>307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308</v>
      </c>
      <c r="G176" s="11" t="s">
        <v>229</v>
      </c>
      <c r="H176" s="11" t="s">
        <v>309</v>
      </c>
      <c r="I176" s="11">
        <v>1</v>
      </c>
      <c r="J176" s="11">
        <f>IFERROR(AVERAGEIF(Table1[[#This Row],[Autumn Week 1]:[Spring Exams]],"&gt;0",Table1[[#This Row],[Autumn Week 1]:[Spring Exams]])*4*Table1[[#This Row],[Credits]],0)</f>
        <v>32</v>
      </c>
      <c r="K176" s="11">
        <v>1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>
        <v>0.4</v>
      </c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0.4</v>
      </c>
      <c r="AL176" s="27">
        <f>IF(Table1[[#This Row],[Hours]]&gt;0,Table1[[#This Row],[Hours]],Table1[[#This Row],[Nominal Hours]])*COUNTIF(Table1[[#This Row],[Autumn Week 1]:[Spring Week 12]],"&gt;0")</f>
        <v>1</v>
      </c>
    </row>
    <row r="177" spans="1:38">
      <c r="A177" s="4" t="s">
        <v>182</v>
      </c>
      <c r="B177" s="2" t="s">
        <v>185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310</v>
      </c>
      <c r="G177" s="11" t="s">
        <v>386</v>
      </c>
      <c r="H177" s="11" t="s">
        <v>299</v>
      </c>
      <c r="I177" s="11">
        <v>3</v>
      </c>
      <c r="J177" s="11">
        <f>IFERROR(AVERAGEIF(Table1[[#This Row],[Autumn Week 1]:[Spring Exams]],"&gt;0",Table1[[#This Row],[Autumn Week 1]:[Spring Exams]])*4*Table1[[#This Row],[Credits]],0)</f>
        <v>4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>
        <v>0.05</v>
      </c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0.05</v>
      </c>
      <c r="AL177" s="27">
        <f>IF(Table1[[#This Row],[Hours]]&gt;0,Table1[[#This Row],[Hours]],Table1[[#This Row],[Nominal Hours]])*COUNTIF(Table1[[#This Row],[Autumn Week 1]:[Spring Week 12]],"&gt;0")</f>
        <v>4</v>
      </c>
    </row>
    <row r="178" spans="1:38">
      <c r="A178" s="4" t="s">
        <v>182</v>
      </c>
      <c r="B178" s="2" t="s">
        <v>185</v>
      </c>
      <c r="C178" s="11" t="s">
        <v>123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20</v>
      </c>
      <c r="F178" s="11" t="s">
        <v>306</v>
      </c>
      <c r="G178" s="11" t="s">
        <v>229</v>
      </c>
      <c r="H178" s="11" t="s">
        <v>299</v>
      </c>
      <c r="I178" s="11">
        <v>7</v>
      </c>
      <c r="J178" s="11">
        <f>IFERROR(AVERAGEIF(Table1[[#This Row],[Autumn Week 1]:[Spring Exams]],"&gt;0",Table1[[#This Row],[Autumn Week 1]:[Spring Exams]])*4*Table1[[#This Row],[Credits]],0)</f>
        <v>16</v>
      </c>
      <c r="K178" s="11">
        <v>0.5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>
        <v>0.2</v>
      </c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0.2</v>
      </c>
      <c r="AL178" s="27">
        <f>IF(Table1[[#This Row],[Hours]]&gt;0,Table1[[#This Row],[Hours]],Table1[[#This Row],[Nominal Hours]])*COUNTIF(Table1[[#This Row],[Autumn Week 1]:[Spring Week 12]],"&gt;0")</f>
        <v>0.5</v>
      </c>
    </row>
    <row r="179" spans="1:38">
      <c r="A179" s="4" t="s">
        <v>182</v>
      </c>
      <c r="B179" s="2" t="s">
        <v>185</v>
      </c>
      <c r="C179" s="11" t="s">
        <v>122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20</v>
      </c>
      <c r="F179" s="11" t="s">
        <v>311</v>
      </c>
      <c r="G179" s="11" t="s">
        <v>229</v>
      </c>
      <c r="H179" s="11" t="s">
        <v>299</v>
      </c>
      <c r="I179" s="11">
        <v>6</v>
      </c>
      <c r="J179" s="11">
        <f>IFERROR(AVERAGEIF(Table1[[#This Row],[Autumn Week 1]:[Spring Exams]],"&gt;0",Table1[[#This Row],[Autumn Week 1]:[Spring Exams]])*4*Table1[[#This Row],[Credits]],0)</f>
        <v>24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>
        <v>0.3</v>
      </c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24</v>
      </c>
    </row>
    <row r="180" spans="1:38">
      <c r="A180" s="4" t="s">
        <v>182</v>
      </c>
      <c r="B180" s="2" t="s">
        <v>185</v>
      </c>
      <c r="C180" s="11" t="s">
        <v>123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312</v>
      </c>
      <c r="G180" s="11" t="s">
        <v>229</v>
      </c>
      <c r="H180" s="11" t="s">
        <v>299</v>
      </c>
      <c r="I180" s="11">
        <v>6</v>
      </c>
      <c r="J180" s="11">
        <f>IFERROR(AVERAGEIF(Table1[[#This Row],[Autumn Week 1]:[Spring Exams]],"&gt;0",Table1[[#This Row],[Autumn Week 1]:[Spring Exams]])*4*Table1[[#This Row],[Credits]],0)</f>
        <v>40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40</v>
      </c>
    </row>
    <row r="181" spans="1:38">
      <c r="A181" s="3" t="s">
        <v>313</v>
      </c>
      <c r="B181" s="28" t="s">
        <v>314</v>
      </c>
      <c r="C181" s="11" t="s">
        <v>5</v>
      </c>
      <c r="D181" s="29">
        <f>INDEX(Table2[CA weight],MATCH(Table1[[#This Row],[Module Code]],Table2[Module Code],0))</f>
        <v>30</v>
      </c>
      <c r="E181" s="29">
        <f>INDEX(Table2[Credits],MATCH(Table1[[#This Row],[Module Code]],Table2[Module Code],0))</f>
        <v>10</v>
      </c>
      <c r="F181" s="11" t="s">
        <v>315</v>
      </c>
      <c r="G181" s="11" t="s">
        <v>229</v>
      </c>
      <c r="H181" s="11" t="s">
        <v>316</v>
      </c>
      <c r="I181" s="11">
        <v>4</v>
      </c>
      <c r="J181" s="11">
        <f>IFERROR(AVERAGEIF(Table1[[#This Row],[Autumn Week 1]:[Spring Exams]],"&gt;0",Table1[[#This Row],[Autumn Week 1]:[Spring Exams]])*4*Table1[[#This Row],[Credits]],0)</f>
        <v>4</v>
      </c>
      <c r="K181" s="11"/>
      <c r="L181" s="18"/>
      <c r="M181" s="18"/>
      <c r="N181" s="18"/>
      <c r="O181" s="19"/>
      <c r="P181" s="18"/>
      <c r="Q181" s="18"/>
      <c r="R181" s="18">
        <v>0.1</v>
      </c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0.1</v>
      </c>
      <c r="AL181" s="27">
        <f>IF(Table1[[#This Row],[Hours]]&gt;0,Table1[[#This Row],[Hours]],Table1[[#This Row],[Nominal Hours]])*COUNTIF(Table1[[#This Row],[Autumn Week 1]:[Spring Week 12]],"&gt;0")</f>
        <v>4</v>
      </c>
    </row>
    <row r="182" spans="1:38">
      <c r="A182" s="3" t="s">
        <v>313</v>
      </c>
      <c r="B182" s="28" t="s">
        <v>314</v>
      </c>
      <c r="C182" s="11" t="s">
        <v>5</v>
      </c>
      <c r="D182" s="29">
        <f>INDEX(Table2[CA weight],MATCH(Table1[[#This Row],[Module Code]],Table2[Module Code],0))</f>
        <v>30</v>
      </c>
      <c r="E182" s="29">
        <f>INDEX(Table2[Credits],MATCH(Table1[[#This Row],[Module Code]],Table2[Module Code],0))</f>
        <v>10</v>
      </c>
      <c r="F182" s="11" t="s">
        <v>317</v>
      </c>
      <c r="G182" s="11" t="s">
        <v>229</v>
      </c>
      <c r="H182" s="11" t="s">
        <v>316</v>
      </c>
      <c r="I182" s="11">
        <v>6</v>
      </c>
      <c r="J182" s="11">
        <f>IFERROR(AVERAGEIF(Table1[[#This Row],[Autumn Week 1]:[Spring Exams]],"&gt;0",Table1[[#This Row],[Autumn Week 1]:[Spring Exams]])*4*Table1[[#This Row],[Credits]],0)</f>
        <v>8</v>
      </c>
      <c r="K182" s="11"/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>
        <v>0.2</v>
      </c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0.2</v>
      </c>
      <c r="AL182" s="27">
        <f>IF(Table1[[#This Row],[Hours]]&gt;0,Table1[[#This Row],[Hours]],Table1[[#This Row],[Nominal Hours]])*COUNTIF(Table1[[#This Row],[Autumn Week 1]:[Spring Week 12]],"&gt;0")</f>
        <v>8</v>
      </c>
    </row>
    <row r="183" spans="1:38">
      <c r="A183" s="3" t="s">
        <v>318</v>
      </c>
      <c r="B183" s="28" t="s">
        <v>319</v>
      </c>
      <c r="C183" s="11" t="s">
        <v>5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10</v>
      </c>
      <c r="F183" s="11" t="s">
        <v>320</v>
      </c>
      <c r="G183" s="11" t="s">
        <v>229</v>
      </c>
      <c r="H183" s="11" t="s">
        <v>321</v>
      </c>
      <c r="I183" s="11">
        <v>3</v>
      </c>
      <c r="J183" s="11">
        <f>IFERROR(AVERAGEIF(Table1[[#This Row],[Autumn Week 1]:[Spring Exams]],"&gt;0",Table1[[#This Row],[Autumn Week 1]:[Spring Exams]])*4*Table1[[#This Row],[Credits]],0)</f>
        <v>8</v>
      </c>
      <c r="K183" s="11"/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>
        <v>0.2</v>
      </c>
      <c r="AB183" s="20"/>
      <c r="AC183" s="20"/>
      <c r="AD183" s="20"/>
      <c r="AE183" s="20"/>
      <c r="AF183" s="20"/>
      <c r="AG183" s="20"/>
      <c r="AH183" s="20"/>
      <c r="AI183" s="20"/>
      <c r="AJ183" s="20"/>
      <c r="AK183" s="27">
        <f>SUMIF(Table1[[#This Row],[Autumn Week 1]:[Spring Week 12]],"&gt;0",Table1[[#This Row],[Autumn Week 1]:[Spring Week 12]])</f>
        <v>0.2</v>
      </c>
      <c r="AL183" s="27">
        <f>IF(Table1[[#This Row],[Hours]]&gt;0,Table1[[#This Row],[Hours]],Table1[[#This Row],[Nominal Hours]])*COUNTIF(Table1[[#This Row],[Autumn Week 1]:[Spring Week 12]],"&gt;0")</f>
        <v>8</v>
      </c>
    </row>
    <row r="184" spans="1:38">
      <c r="A184" s="3" t="s">
        <v>318</v>
      </c>
      <c r="B184" s="28" t="s">
        <v>319</v>
      </c>
      <c r="C184" s="11" t="s">
        <v>5</v>
      </c>
      <c r="D184" s="29">
        <f>INDEX(Table2[CA weight],MATCH(Table1[[#This Row],[Module Code]],Table2[Module Code],0))</f>
        <v>100</v>
      </c>
      <c r="E184" s="29">
        <f>INDEX(Table2[Credits],MATCH(Table1[[#This Row],[Module Code]],Table2[Module Code],0))</f>
        <v>10</v>
      </c>
      <c r="F184" s="11" t="s">
        <v>322</v>
      </c>
      <c r="G184" s="11" t="s">
        <v>229</v>
      </c>
      <c r="H184" s="11" t="s">
        <v>321</v>
      </c>
      <c r="I184" s="11">
        <v>8</v>
      </c>
      <c r="J184" s="11">
        <f>IFERROR(AVERAGEIF(Table1[[#This Row],[Autumn Week 1]:[Spring Exams]],"&gt;0",Table1[[#This Row],[Autumn Week 1]:[Spring Exams]])*4*Table1[[#This Row],[Credits]],0)</f>
        <v>20</v>
      </c>
      <c r="K184" s="11"/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/>
      <c r="W184" s="19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>
        <v>0.5</v>
      </c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20</v>
      </c>
    </row>
    <row r="185" spans="1:38">
      <c r="A185" s="3" t="s">
        <v>318</v>
      </c>
      <c r="B185" s="28" t="s">
        <v>319</v>
      </c>
      <c r="C185" s="11" t="s">
        <v>5</v>
      </c>
      <c r="D185" s="29">
        <f>INDEX(Table2[CA weight],MATCH(Table1[[#This Row],[Module Code]],Table2[Module Code],0))</f>
        <v>100</v>
      </c>
      <c r="E185" s="29">
        <f>INDEX(Table2[Credits],MATCH(Table1[[#This Row],[Module Code]],Table2[Module Code],0))</f>
        <v>10</v>
      </c>
      <c r="F185" s="11" t="s">
        <v>323</v>
      </c>
      <c r="G185" s="11" t="s">
        <v>229</v>
      </c>
      <c r="H185" s="11" t="s">
        <v>321</v>
      </c>
      <c r="I185" s="11">
        <v>3</v>
      </c>
      <c r="J185" s="11">
        <f>IFERROR(AVERAGEIF(Table1[[#This Row],[Autumn Week 1]:[Spring Exams]],"&gt;0",Table1[[#This Row],[Autumn Week 1]:[Spring Exams]])*4*Table1[[#This Row],[Credits]],0)</f>
        <v>12</v>
      </c>
      <c r="K185" s="11"/>
      <c r="L185" s="18"/>
      <c r="M185" s="18"/>
      <c r="N185" s="18"/>
      <c r="O185" s="19"/>
      <c r="P185" s="18"/>
      <c r="Q185" s="18"/>
      <c r="R185" s="18"/>
      <c r="S185" s="19"/>
      <c r="T185" s="18"/>
      <c r="U185" s="18"/>
      <c r="V185" s="18"/>
      <c r="W185" s="19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>
        <v>0.3</v>
      </c>
      <c r="AJ185" s="20"/>
      <c r="AK185" s="27">
        <f>SUMIF(Table1[[#This Row],[Autumn Week 1]:[Spring Week 12]],"&gt;0",Table1[[#This Row],[Autumn Week 1]:[Spring Week 12]])</f>
        <v>0.3</v>
      </c>
      <c r="AL185" s="27">
        <f>IF(Table1[[#This Row],[Hours]]&gt;0,Table1[[#This Row],[Hours]],Table1[[#This Row],[Nominal Hours]])*COUNTIF(Table1[[#This Row],[Autumn Week 1]:[Spring Week 12]],"&gt;0")</f>
        <v>12</v>
      </c>
    </row>
    <row r="186" spans="1:38">
      <c r="A186" s="3" t="s">
        <v>324</v>
      </c>
      <c r="B186" s="28" t="s">
        <v>325</v>
      </c>
      <c r="C186" s="11" t="s">
        <v>5</v>
      </c>
      <c r="D186" s="29">
        <f>INDEX(Table2[CA weight],MATCH(Table1[[#This Row],[Module Code]],Table2[Module Code],0))</f>
        <v>100</v>
      </c>
      <c r="E186" s="29">
        <f>INDEX(Table2[Credits],MATCH(Table1[[#This Row],[Module Code]],Table2[Module Code],0))</f>
        <v>20</v>
      </c>
      <c r="F186" s="11" t="s">
        <v>326</v>
      </c>
      <c r="G186" s="11" t="s">
        <v>229</v>
      </c>
      <c r="H186" s="11" t="s">
        <v>321</v>
      </c>
      <c r="I186" s="11">
        <v>4</v>
      </c>
      <c r="J186" s="11">
        <f>IFERROR(AVERAGEIF(Table1[[#This Row],[Autumn Week 1]:[Spring Exams]],"&gt;0",Table1[[#This Row],[Autumn Week 1]:[Spring Exams]])*4*Table1[[#This Row],[Credits]],0)</f>
        <v>40</v>
      </c>
      <c r="K186" s="11">
        <v>20</v>
      </c>
      <c r="L186" s="18"/>
      <c r="M186" s="18"/>
      <c r="N186" s="18"/>
      <c r="O186" s="19"/>
      <c r="P186" s="18"/>
      <c r="Q186" s="18"/>
      <c r="R186" s="18"/>
      <c r="S186" s="19"/>
      <c r="T186" s="18"/>
      <c r="U186" s="18"/>
      <c r="V186" s="18"/>
      <c r="W186" s="19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>
        <v>0.5</v>
      </c>
      <c r="AJ186" s="20"/>
      <c r="AK186" s="27">
        <f>SUMIF(Table1[[#This Row],[Autumn Week 1]:[Spring Week 12]],"&gt;0",Table1[[#This Row],[Autumn Week 1]:[Spring Week 12]])</f>
        <v>0.5</v>
      </c>
      <c r="AL186" s="27">
        <f>IF(Table1[[#This Row],[Hours]]&gt;0,Table1[[#This Row],[Hours]],Table1[[#This Row],[Nominal Hours]])*COUNTIF(Table1[[#This Row],[Autumn Week 1]:[Spring Week 12]],"&gt;0")</f>
        <v>20</v>
      </c>
    </row>
    <row r="187" spans="1:38">
      <c r="A187" s="3" t="s">
        <v>324</v>
      </c>
      <c r="B187" s="28" t="s">
        <v>325</v>
      </c>
      <c r="C187" s="11" t="s">
        <v>4</v>
      </c>
      <c r="D187" s="29">
        <f>INDEX(Table2[CA weight],MATCH(Table1[[#This Row],[Module Code]],Table2[Module Code],0))</f>
        <v>100</v>
      </c>
      <c r="E187" s="29">
        <f>INDEX(Table2[Credits],MATCH(Table1[[#This Row],[Module Code]],Table2[Module Code],0))</f>
        <v>20</v>
      </c>
      <c r="F187" s="11" t="s">
        <v>327</v>
      </c>
      <c r="G187" s="11" t="s">
        <v>229</v>
      </c>
      <c r="H187" s="11" t="s">
        <v>309</v>
      </c>
      <c r="I187" s="11">
        <v>1</v>
      </c>
      <c r="J187" s="11">
        <f>IFERROR(AVERAGEIF(Table1[[#This Row],[Autumn Week 1]:[Spring Exams]],"&gt;0",Table1[[#This Row],[Autumn Week 1]:[Spring Exams]])*4*Table1[[#This Row],[Credits]],0)</f>
        <v>40</v>
      </c>
      <c r="K187" s="11">
        <v>1</v>
      </c>
      <c r="L187" s="18"/>
      <c r="M187" s="18"/>
      <c r="N187" s="18"/>
      <c r="O187" s="19"/>
      <c r="P187" s="18"/>
      <c r="Q187" s="18"/>
      <c r="R187" s="18"/>
      <c r="S187" s="19"/>
      <c r="T187" s="18"/>
      <c r="U187" s="18"/>
      <c r="V187" s="18"/>
      <c r="W187" s="19"/>
      <c r="X187" s="20"/>
      <c r="Y187" s="20"/>
      <c r="Z187" s="20"/>
      <c r="AA187" s="20"/>
      <c r="AB187" s="20"/>
      <c r="AC187" s="20"/>
      <c r="AD187" s="20">
        <v>0.5</v>
      </c>
      <c r="AE187" s="20"/>
      <c r="AF187" s="20"/>
      <c r="AG187" s="20"/>
      <c r="AH187" s="20"/>
      <c r="AI187" s="20"/>
      <c r="AJ187" s="20"/>
      <c r="AK187" s="27">
        <f>SUMIF(Table1[[#This Row],[Autumn Week 1]:[Spring Week 12]],"&gt;0",Table1[[#This Row],[Autumn Week 1]:[Spring Week 12]])</f>
        <v>0.5</v>
      </c>
      <c r="AL187" s="27">
        <f>IF(Table1[[#This Row],[Hours]]&gt;0,Table1[[#This Row],[Hours]],Table1[[#This Row],[Nominal Hours]])*COUNTIF(Table1[[#This Row],[Autumn Week 1]:[Spring Week 12]],"&gt;0")</f>
        <v>1</v>
      </c>
    </row>
    <row r="188" spans="1:38">
      <c r="A188" s="3" t="s">
        <v>328</v>
      </c>
      <c r="B188" s="28" t="s">
        <v>329</v>
      </c>
      <c r="C188" s="11" t="s">
        <v>5</v>
      </c>
      <c r="D188" s="29">
        <f>INDEX(Table2[CA weight],MATCH(Table1[[#This Row],[Module Code]],Table2[Module Code],0))</f>
        <v>50</v>
      </c>
      <c r="E188" s="29">
        <f>INDEX(Table2[Credits],MATCH(Table1[[#This Row],[Module Code]],Table2[Module Code],0))</f>
        <v>20</v>
      </c>
      <c r="F188" s="11" t="s">
        <v>330</v>
      </c>
      <c r="G188" s="11" t="s">
        <v>229</v>
      </c>
      <c r="H188" s="11" t="s">
        <v>321</v>
      </c>
      <c r="I188" s="11">
        <v>2</v>
      </c>
      <c r="J188" s="11">
        <f>IFERROR(AVERAGEIF(Table1[[#This Row],[Autumn Week 1]:[Spring Exams]],"&gt;0",Table1[[#This Row],[Autumn Week 1]:[Spring Exams]])*4*Table1[[#This Row],[Credits]],0)</f>
        <v>40</v>
      </c>
      <c r="K188" s="11">
        <v>8</v>
      </c>
      <c r="L188" s="18"/>
      <c r="M188" s="18"/>
      <c r="N188" s="18"/>
      <c r="O188" s="19"/>
      <c r="P188" s="18"/>
      <c r="Q188" s="18"/>
      <c r="R188" s="18"/>
      <c r="S188" s="19"/>
      <c r="T188" s="18"/>
      <c r="U188" s="18"/>
      <c r="V188" s="18">
        <v>0.5</v>
      </c>
      <c r="W188" s="19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7">
        <f>SUMIF(Table1[[#This Row],[Autumn Week 1]:[Spring Week 12]],"&gt;0",Table1[[#This Row],[Autumn Week 1]:[Spring Week 12]])</f>
        <v>0.5</v>
      </c>
      <c r="AL18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workbookViewId="0">
      <pane xSplit="2" topLeftCell="O1" activePane="topRight" state="frozen"/>
      <selection pane="topRight" activeCell="U11" sqref="U11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376</v>
      </c>
      <c r="Q1" s="5" t="s">
        <v>377</v>
      </c>
      <c r="R1" s="5" t="s">
        <v>241</v>
      </c>
      <c r="S1" s="5" t="s">
        <v>375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 s="48">
        <v>80</v>
      </c>
      <c r="V16">
        <f>100-Table2[[#This Row],[Exam Weight (%)]]</f>
        <v>20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 s="48">
        <v>80</v>
      </c>
      <c r="V28">
        <f>100-Table2[[#This Row],[Exam Weight (%)]]</f>
        <v>20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 s="48">
        <v>80</v>
      </c>
      <c r="V34">
        <f>100-Table2[[#This Row],[Exam Weight (%)]]</f>
        <v>20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356</v>
      </c>
      <c r="C39" s="3" t="s">
        <v>371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 s="48">
        <v>80</v>
      </c>
      <c r="V40">
        <f>100-Table2[[#This Row],[Exam Weight (%)]]</f>
        <v>20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293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371</v>
      </c>
      <c r="B74" s="3" t="s">
        <v>356</v>
      </c>
      <c r="C74" s="3" t="s">
        <v>108</v>
      </c>
      <c r="D74" s="28" t="s">
        <v>178</v>
      </c>
      <c r="E74" s="3" t="s">
        <v>372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313</v>
      </c>
      <c r="B96" s="3" t="s">
        <v>314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373</v>
      </c>
      <c r="B97" s="3" t="s">
        <v>374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318</v>
      </c>
      <c r="B98" s="3" t="s">
        <v>319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324</v>
      </c>
      <c r="B99" s="3" t="s">
        <v>325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328</v>
      </c>
      <c r="B100" s="3" t="s">
        <v>329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34.5</v>
      </c>
      <c r="D15">
        <f>INDEX(Table14[Total],MATCH(Sheet2!A15,Table14[Module Code],0))</f>
        <v>44</v>
      </c>
      <c r="E15">
        <f t="shared" si="0"/>
        <v>78.5</v>
      </c>
      <c r="F15">
        <f t="shared" si="1"/>
        <v>7.85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6</v>
      </c>
      <c r="D17">
        <f>INDEX(Table14[Total],MATCH(Sheet2!A17,Table14[Module Code],0))</f>
        <v>22</v>
      </c>
      <c r="E17">
        <f t="shared" si="0"/>
        <v>28</v>
      </c>
      <c r="F17">
        <f t="shared" si="1"/>
        <v>2.8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71.5</v>
      </c>
      <c r="D21">
        <f>INDEX(Table14[Total],MATCH(Sheet2!A21,Table14[Module Code],0))</f>
        <v>66</v>
      </c>
      <c r="E21">
        <f t="shared" si="0"/>
        <v>137.5</v>
      </c>
      <c r="F21">
        <f t="shared" si="1"/>
        <v>6.875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8</v>
      </c>
      <c r="D36">
        <f>INDEX(Table14[Total],MATCH(Sheet2!A36,Table14[Module Code],0))</f>
        <v>22</v>
      </c>
      <c r="E36">
        <f t="shared" si="0"/>
        <v>30</v>
      </c>
      <c r="F36">
        <f t="shared" si="1"/>
        <v>3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15</v>
      </c>
      <c r="D42">
        <f>INDEX(Table14[Total],MATCH(Sheet2!A42,Table14[Module Code],0))</f>
        <v>22</v>
      </c>
      <c r="E42">
        <f t="shared" si="0"/>
        <v>37</v>
      </c>
      <c r="F42">
        <f t="shared" si="1"/>
        <v>3.7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18</v>
      </c>
      <c r="D54">
        <f>INDEX(Table14[Total],MATCH(Sheet2!A54,Table14[Module Code],0))</f>
        <v>33</v>
      </c>
      <c r="E54">
        <f t="shared" si="0"/>
        <v>51</v>
      </c>
      <c r="F54">
        <f t="shared" si="1"/>
        <v>5.0999999999999996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2026-08-05T17:17:35Z</dcterms:modified>
</cp:coreProperties>
</file>