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49" documentId="8_{0C641013-E594-4AA6-B777-C2C249EA34A6}" xr6:coauthVersionLast="47" xr6:coauthVersionMax="47" xr10:uidLastSave="{0FBA324E-4652-42BF-A934-EF70E5B8E75B}"/>
  <bookViews>
    <workbookView xWindow="-98" yWindow="-98" windowWidth="26116" windowHeight="15675" activeTab="1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2" i="1"/>
  <c r="AK32" i="1"/>
  <c r="E32" i="1"/>
  <c r="J32" i="1" s="1"/>
  <c r="AK26" i="1"/>
  <c r="E26" i="1"/>
  <c r="J26" i="1" s="1"/>
  <c r="AL26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30" i="1"/>
  <c r="J30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7" i="1"/>
  <c r="AK28" i="1"/>
  <c r="AK29" i="1"/>
  <c r="AK30" i="1"/>
  <c r="AK31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30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1" i="1"/>
  <c r="J31" i="1" s="1"/>
  <c r="E29" i="1"/>
  <c r="J29" i="1" s="1"/>
  <c r="E28" i="1"/>
  <c r="J28" i="1" s="1"/>
  <c r="E43" i="1"/>
  <c r="J43" i="1" s="1"/>
  <c r="E42" i="1"/>
  <c r="J42" i="1" s="1"/>
  <c r="E41" i="1"/>
  <c r="J41" i="1" s="1"/>
  <c r="E40" i="1"/>
  <c r="J40" i="1" s="1"/>
  <c r="E27" i="1"/>
  <c r="J27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27" i="1"/>
  <c r="AL41" i="1"/>
  <c r="AL28" i="1"/>
  <c r="AL29" i="1"/>
  <c r="AL31" i="1"/>
  <c r="AL34" i="1"/>
  <c r="AL35" i="1"/>
  <c r="AL36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6" i="1" s="1"/>
  <c r="W14" i="2"/>
  <c r="W15" i="2"/>
  <c r="D30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31" i="1"/>
  <c r="D32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27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4" i="1"/>
  <c r="D33" i="1"/>
  <c r="D36" i="1"/>
  <c r="D35" i="1"/>
  <c r="D18" i="1"/>
  <c r="D17" i="1"/>
  <c r="D122" i="1"/>
  <c r="D121" i="1"/>
  <c r="D21" i="1"/>
  <c r="D22" i="1"/>
  <c r="D90" i="1"/>
  <c r="D91" i="1"/>
  <c r="D29" i="1"/>
  <c r="D28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<sst xmlns="http://schemas.openxmlformats.org/spreadsheetml/2006/main" count="2953" uniqueCount="416">
  <si>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</si>
  <si>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</si>
  <si>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</si>
  <si>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</si>
  <si>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</si>
  <si>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</si>
  <si>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</si>
  <si>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</si>
  <si>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</si>
  <si>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</si>
  <si>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</si>
  <si>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</si>
  <si>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</si>
  <si>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</si>
  <si>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</si>
  <si>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</si>
  <si>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</si>
  <si>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</si>
  <si>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</si>
  <si>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</si>
  <si>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</si>
  <si>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</si>
  <si>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</si>
  <si>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</si>
  <si>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</si>
  <si>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</si>
  <si>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</si>
  <si>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</si>
  <si>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</si>
  <si>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</si>
  <si>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</si>
  <si>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</si>
  <si>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</si>
  <si>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</si>
  <si>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</si>
  <si>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</si>
  <si>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</si>
  <si>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</si>
  <si>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</si>
  <si>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</si>
  <si>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</si>
  <si>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</si>
  <si>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</si>
  <si>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</si>
  <si>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</si>
  <si>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</si>
  <si>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</si>
  <si>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</si>
  <si>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</si>
  <si>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</si>
  <si>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</si>
  <si>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</si>
  <si>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</si>
  <si>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</si>
  <si>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</si>
  <si>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</si>
  <si>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</si>
  <si>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</si>
  <si>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</si>
  <si>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</si>
  <si>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</si>
  <si>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</si>
  <si>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</si>
  <si>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</si>
  <si>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</si>
  <si>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</si>
  <si>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</si>
  <si>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</si>
  <si>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</si>
  <si>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</si>
  <si>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</si>
  <si>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</si>
  <si>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</si>
  <si>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</si>
  <si>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</si>
  <si>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</si>
  <si>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</si>
  <si>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</si>
  <si>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</si>
  <si>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</si>
  <si>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</si>
  <si>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</si>
  <si>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</si>
  <si>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</si>
  <si>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</si>
  <si>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</si>
  <si>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</si>
  <si>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</si>
  <si>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</si>
  <si>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</si>
  <si>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</si>
  <si>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</si>
  <si>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</si>
  <si>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</si>
  <si>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</si>
  <si>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</si>
  <si>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</si>
  <si>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</si>
  <si>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</si>
  <si>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</si>
  <si>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</si>
  <si>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</si>
  <si>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</si>
  <si>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</si>
  <si>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</si>
  <si>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</si>
  <si>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</si>
  <si>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</si>
  <si>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</si>
  <si>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</si>
  <si>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</si>
  <si>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</si>
  <si>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</si>
  <si>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</si>
  <si>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</si>
  <si>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</si>
  <si>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</si>
  <si>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</si>
  <si>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</si>
  <si>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</si>
  <si>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</si>
  <si>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</si>
  <si>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</si>
  <si>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</si>
  <si>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</si>
  <si>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</si>
  <si>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</si>
  <si>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</si>
  <si>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</si>
  <si>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</si>
  <si>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</si>
  <si>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</si>
  <si>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</si>
  <si>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</si>
  <si>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</si>
  <si>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</si>
  <si>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</si>
  <si>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</si>
  <si>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</si>
  <si>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</si>
  <si>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</si>
  <si>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</si>
  <si>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</si>
  <si>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</si>
  <si>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</si>
  <si>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</si>
  <si>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</si>
  <si>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</si>
  <si>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</si>
  <si>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</si>
  <si>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</si>
  <si>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</si>
  <si>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</si>
  <si>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</si>
  <si>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</si>
  <si>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</si>
  <si>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</si>
  <si>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</si>
  <si>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</si>
  <si>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</si>
  <si>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</si>
  <si>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</si>
  <si>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</si>
  <si>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</si>
  <si>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</si>
  <si>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</si>
  <si>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</si>
  <si>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</si>
  <si>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</si>
  <si>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</si>
  <si>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</si>
  <si>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</si>
  <si>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</si>
  <si>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</si>
  <si>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</si>
  <si>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</si>
  <si>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</si>
  <si>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</si>
  <si>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</si>
  <si>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</si>
  <si>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</si>
  <si>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</si>
  <si>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</si>
  <si>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</si>
  <si>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</si>
  <si>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</si>
  <si>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</si>
  <si>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</si>
  <si>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</si>
  <si>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</si>
  <si>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</si>
  <si>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</si>
  <si>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</si>
  <si>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</si>
  <si>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</si>
  <si>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</si>
  <si>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</si>
  <si>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</si>
  <si>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</si>
  <si>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</si>
  <si>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</si>
  <si>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</si>
  <si>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</si>
  <si>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</si>
  <si>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</si>
  <si>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</si>
  <si>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</si>
  <si>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</si>
  <si>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</si>
  <si>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</si>
  <si>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</si>
  <si>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</si>
  <si>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</si>
  <si>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</si>
  <si>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</si>
  <si>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</si>
  <si>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</si>
  <si>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</si>
  <si>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</si>
  <si>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</si>
  <si>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</si>
  <si>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</si>
  <si>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</si>
  <si>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</si>
  <si>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</si>
  <si>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</si>
  <si>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</si>
  <si>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</si>
  <si>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</si>
  <si>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</si>
  <si>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</si>
  <si>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</si>
  <si>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</si>
  <si>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</si>
  <si>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</si>
  <si>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</si>
  <si>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</si>
  <si>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</si>
  <si>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</si>
  <si>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</si>
  <si>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</si>
  <si>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</si>
  <si>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</si>
  <si>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</si>
  <si>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</si>
  <si>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</si>
  <si>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</si>
  <si>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</si>
  <si>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</si>
  <si>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</si>
  <si>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</si>
  <si>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</si>
  <si>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</si>
  <si>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</si>
  <si>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</si>
  <si>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</si>
  <si>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</si>
  <si>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</si>
  <si>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</si>
  <si>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</si>
  <si>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</si>
  <si>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</si>
  <si>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</si>
  <si>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</si>
  <si>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</si>
  <si>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</si>
  <si>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</si>
  <si>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</si>
  <si>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</si>
  <si>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</si>
  <si>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</si>
  <si>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</si>
  <si>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</si>
  <si>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</si>
  <si>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</si>
  <si>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</si>
  <si>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</si>
  <si>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</si>
  <si>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</si>
  <si>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</si>
  <si>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</si>
  <si>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</si>
  <si>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</si>
  <si>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</si>
  <si>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</si>
  <si>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</si>
  <si>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</si>
  <si>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</si>
  <si>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</si>
  <si>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</si>
  <si>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</si>
  <si>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</si>
  <si>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</si>
  <si>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</si>
  <si>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</si>
  <si>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</si>
  <si>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</si>
  <si>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</si>
  <si>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</si>
  <si>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</si>
  <si>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</si>
  <si>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</si>
  <si>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</si>
  <si>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</si>
  <si>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</si>
  <si>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</si>
  <si>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</si>
  <si>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</si>
  <si>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</si>
  <si>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</si>
  <si>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</si>
  <si>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</si>
  <si>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</si>
  <si>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</si>
  <si>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</si>
  <si>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</si>
  <si>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</si>
  <si>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</si>
  <si>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</si>
  <si>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</si>
  <si>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</si>
  <si>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</si>
  <si>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</si>
  <si>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</si>
  <si>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</si>
  <si>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</si>
  <si>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</si>
  <si>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</si>
  <si>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</si>
  <si>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</si>
  <si>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</si>
  <si>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</si>
  <si>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</si>
  <si>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</si>
  <si>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</si>
  <si>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</si>
  <si>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</si>
  <si>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</si>
  <si>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</si>
  <si>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</si>
  <si>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</si>
  <si>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</si>
  <si>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</si>
  <si>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</si>
  <si>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</si>
  <si>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</si>
  <si>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</si>
  <si>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</si>
  <si>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</si>
  <si>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</si>
  <si>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</si>
  <si>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</si>
  <si>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</si>
  <si>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</si>
  <si>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</si>
  <si>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</si>
  <si>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</si>
  <si>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</si>
  <si>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</si>
  <si>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</si>
  <si>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</si>
  <si>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</si>
  <si>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</si>
  <si>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</si>
  <si>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</si>
  <si>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</si>
  <si>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</si>
  <si>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</si>
  <si>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</si>
  <si>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</si>
  <si>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</si>
  <si>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</si>
  <si>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</si>
  <si>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</si>
  <si>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</si>
  <si>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</si>
  <si>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</si>
  <si>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</si>
  <si>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</si>
  <si>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</si>
  <si>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</si>
  <si>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</si>
  <si>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</si>
  <si>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</si>
  <si>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</si>
  <si>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</si>
  <si>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</si>
  <si>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</si>
  <si>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</si>
  <si>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</si>
  <si>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</si>
  <si>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</si>
  <si>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</si>
  <si>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</si>
  <si>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</si>
  <si>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</si>
  <si>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</si>
  <si>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</si>
  <si>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</si>
  <si>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</si>
  <si>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</si>
  <si>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</si>
  <si>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</si>
  <si>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</si>
  <si>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</si>
  <si>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</si>
  <si>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</si>
  <si>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</si>
  <si>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</si>
  <si>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</si>
  <si>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</si>
  <si>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</si>
  <si>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</si>
  <si>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</si>
  <si>
    <t>Fr (*)</t>
  </si>
  <si>
    <t>Problem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</si>
</sst>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116" dataDxfId="114" headerRowBorderDxfId="115" tableBorderDxfId="113" totalsRowBorderDxfId="112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111"/>
    <tableColumn id="2" xr3:uid="{D2290F36-B8B3-427A-AEFE-45FD22901411}" name="Module Title" dataDxfId="110"/>
    <tableColumn id="3" xr3:uid="{31165455-2AA3-4532-A0A0-C942837C0F79}" name="CA type" dataDxfId="109"/>
    <tableColumn id="33" xr3:uid="{B83E0E3E-2B28-42F1-BC64-5D7177EC4229}" name="CA Weight" dataDxfId="108"/>
    <tableColumn id="34" xr3:uid="{AEA2048C-138D-450A-BE52-3FCBDE03C67D}" name="Credits" dataDxfId="107"/>
    <tableColumn id="30" xr3:uid="{82DD5B5B-C808-4E6E-849C-7A03DC6D0B69}" name="Description" dataDxfId="106"/>
    <tableColumn id="36" xr3:uid="{A7BF30F6-C808-4B8F-B3FF-9FAF20E2145A}" name="Summative" dataDxfId="105"/>
    <tableColumn id="37" xr3:uid="{68E504F9-116C-43AB-BCC6-3BB48B0860D2}" name="Day of Week" dataDxfId="104"/>
    <tableColumn id="16" xr3:uid="{E6637FEB-7F23-45F0-99D2-96D20DD2DAEF}" name="Duration" dataDxfId="103"/>
    <tableColumn id="31" xr3:uid="{FD1E9614-3960-4F72-BD42-711A4CC7BBA0}" name="Nominal Hours" dataDxfId="10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01"/>
    <tableColumn id="4" xr3:uid="{04E38F13-8347-412C-866C-6EFE6796253C}" name="Autumn Week 1" dataDxfId="100"/>
    <tableColumn id="5" xr3:uid="{254D6A24-FC1B-44C7-A3DF-52DA2A250D31}" name="Autumn Week 2" dataDxfId="99"/>
    <tableColumn id="6" xr3:uid="{9EB326C3-772E-4E56-89FB-BA3A00291293}" name="Autumn Week 3" dataDxfId="98"/>
    <tableColumn id="7" xr3:uid="{94BC6C78-5A89-4267-B1C1-BFA70E5A9F34}" name="Autumn Week 4" dataDxfId="97"/>
    <tableColumn id="8" xr3:uid="{CF3B6389-B559-4FE3-8B33-FEDB303382B1}" name="Autumn Week 5" dataDxfId="96"/>
    <tableColumn id="9" xr3:uid="{8DD80B9C-D1B1-4CDE-A624-4CD3A15113DD}" name="Autumn Week 6" dataDxfId="95"/>
    <tableColumn id="10" xr3:uid="{8C4EBEE4-01CB-4AD0-B594-F466CC36D370}" name="Autumn Week 7" dataDxfId="94"/>
    <tableColumn id="11" xr3:uid="{7F8C91DE-BE61-47CF-A916-D06ED7B283E9}" name="Autumn Week 8" dataDxfId="93"/>
    <tableColumn id="12" xr3:uid="{9D58139A-0F96-4203-8D22-58BC34744B87}" name="Autumn Week 9" dataDxfId="92"/>
    <tableColumn id="13" xr3:uid="{43C545DF-9B9E-4080-8012-F9EFA0F01283}" name="Autumn Week 10" dataDxfId="91"/>
    <tableColumn id="14" xr3:uid="{829AB976-2AB2-435C-8F11-DE08DACA4407}" name="Autumn Week 11" dataDxfId="90"/>
    <tableColumn id="15" xr3:uid="{9126A0EA-FC34-4876-9D56-A0AC39C5526C}" name="Autumn Week 12" dataDxfId="89"/>
    <tableColumn id="17" xr3:uid="{15B891EE-FCC8-4E53-A90D-3E10FFC1E9FA}" name="Spring Week 1" dataDxfId="88"/>
    <tableColumn id="18" xr3:uid="{464CA212-3B53-4678-AFE4-8AF8308C1986}" name="Spring Week 2" dataDxfId="87"/>
    <tableColumn id="19" xr3:uid="{B560E823-CC29-418C-B26C-52D9FFC8C72E}" name="Spring Week 3" dataDxfId="86"/>
    <tableColumn id="20" xr3:uid="{D95606F3-E0A0-4907-91E0-4AD09D0C65CB}" name="Spring Week 4" dataDxfId="85"/>
    <tableColumn id="21" xr3:uid="{E71FF892-9A4B-444C-8972-62D92F81B0E7}" name="Spring Week 5" dataDxfId="84"/>
    <tableColumn id="22" xr3:uid="{C7775BA8-178A-4501-A8DE-2B2CF77A2451}" name="Spring Week 6" dataDxfId="83"/>
    <tableColumn id="23" xr3:uid="{51A89A97-F839-4F50-88A9-65049D65C9B0}" name="Spring Week 7" dataDxfId="82"/>
    <tableColumn id="24" xr3:uid="{26EE6D10-4FC4-49AE-8DE6-18AC556C293D}" name="Spring Week 8" dataDxfId="81"/>
    <tableColumn id="25" xr3:uid="{FCB1B9FB-21DA-415A-86E6-C8E14F864E1B}" name="Spring Week 9" dataDxfId="80"/>
    <tableColumn id="26" xr3:uid="{54402AE1-DC77-41BA-BCC7-28BCA7186B44}" name="Spring Week 10" dataDxfId="79"/>
    <tableColumn id="27" xr3:uid="{31C092D1-BD77-4126-8E72-8E74D0D11509}" name="Spring Week 11" dataDxfId="78"/>
    <tableColumn id="28" xr3:uid="{56D67770-E36A-46FE-97FA-76CD24229C51}" name="Spring Week 12" dataDxfId="77"/>
    <tableColumn id="38" xr3:uid="{29E08DCE-0D92-40C5-8F33-F1B96FB2F7A4}" name="Spring Exams" dataDxfId="76"/>
    <tableColumn id="29" xr3:uid="{785AD842-5ED0-4E27-B4B7-26E6FF9AC266}" name="Sub-total" dataDxfId="75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4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3" dataDxfId="71" headerRowBorderDxfId="72" tableBorderDxfId="70" totalsRowBorderDxfId="6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8"/>
    <tableColumn id="2" xr3:uid="{DE2920B2-70AC-48F3-99E7-07B70BC1E928}" name="Module Title" dataDxfId="67"/>
    <tableColumn id="3" xr3:uid="{61946E7A-4C82-425B-89A6-3DBD530FCD55}" name="Contact type" dataDxfId="66"/>
    <tableColumn id="34" xr3:uid="{55A68E2B-9324-4E9E-9629-6611EC7C904E}" name="Credits" dataDxfId="65">
      <calculatedColumnFormula>INDEX(Table2[Credits],MATCH(Table14[[#This Row],[Module Code]],Table2[Module Code],0))</calculatedColumnFormula>
    </tableColumn>
    <tableColumn id="30" xr3:uid="{9C4C2C35-CE5A-4469-93FA-21FC6F57EDAD}" name="Semester" dataDxfId="64">
      <calculatedColumnFormula>INDEX(Table2[Semester],MATCH(Table14[[#This Row],[Module Code]],Table2[Module Code],0))</calculatedColumnFormula>
    </tableColumn>
    <tableColumn id="31" xr3:uid="{A7B09E14-0C35-459D-A9D0-5143D8AFFE4E}" name="Nominal Hours" dataDxfId="63">
      <calculatedColumnFormula>INDEX(Table2[Contact Time],MATCH(Table14[[#This Row],[Module Code]],Table2[Module Code],0))</calculatedColumnFormula>
    </tableColumn>
    <tableColumn id="4" xr3:uid="{503822B3-8862-4FCD-9DD3-3B52F57A97BE}" name="Autumn Week 1" dataDxfId="62"/>
    <tableColumn id="5" xr3:uid="{760391D0-3219-4B11-8E3D-3E00EEDFA9DD}" name="Autumn Week 2" dataDxfId="61"/>
    <tableColumn id="6" xr3:uid="{6EE5E3E9-C4FB-49BE-932C-B84EA0A7970D}" name="Autumn Week 3" dataDxfId="60"/>
    <tableColumn id="7" xr3:uid="{2C7AD515-480E-49A6-8076-95205ACF95EC}" name="Autumn Week 4" dataDxfId="59"/>
    <tableColumn id="8" xr3:uid="{6FD8C5C6-433E-493B-BB28-5ADD15CFC7FB}" name="Autumn Week 5" dataDxfId="58"/>
    <tableColumn id="9" xr3:uid="{801E6BE2-75F8-40A5-A263-0AAEFDAA63E7}" name="Autumn Week 6" dataDxfId="57"/>
    <tableColumn id="10" xr3:uid="{976D463A-C6BC-4636-B732-53E6CDF3F6C7}" name="Autumn Week 7" dataDxfId="56"/>
    <tableColumn id="11" xr3:uid="{D025F987-6302-4D7B-9A9A-636F867D1872}" name="Autumn Week 8" dataDxfId="55"/>
    <tableColumn id="12" xr3:uid="{D30D10EE-2DE5-4659-AA67-2134D11D6119}" name="Autumn Week 9" dataDxfId="54"/>
    <tableColumn id="13" xr3:uid="{35E8F713-2D13-47B7-9811-293DA89F0D62}" name="Autumn Week 10" dataDxfId="53"/>
    <tableColumn id="14" xr3:uid="{5DD48606-F817-4B30-8BA1-A96457CBB489}" name="Autumn Week 11" dataDxfId="52"/>
    <tableColumn id="15" xr3:uid="{9B982ED1-A4C5-4E87-99AB-70713F2B634E}" name="Autumn Week 12" dataDxfId="51"/>
    <tableColumn id="17" xr3:uid="{3AFDFF11-D351-428A-AC16-E674EB9DD7CC}" name="Spring Week 1" dataDxfId="50"/>
    <tableColumn id="18" xr3:uid="{1431E9F9-328E-4229-9377-39D94C660D67}" name="Spring Week 2" dataDxfId="49"/>
    <tableColumn id="19" xr3:uid="{8E1051DB-2A93-4ABA-8317-8F9921CF483D}" name="Spring Week 3" dataDxfId="48"/>
    <tableColumn id="20" xr3:uid="{98B745E4-C481-42FF-9D3B-0D0899BD3DB6}" name="Spring Week 4" dataDxfId="47"/>
    <tableColumn id="21" xr3:uid="{2FC9B562-4622-444D-9372-5637BFE48E0A}" name="Spring Week 5" dataDxfId="46"/>
    <tableColumn id="22" xr3:uid="{95778D77-82F1-4B00-8FED-6FEB2BF83C3D}" name="Spring Week 6" dataDxfId="45"/>
    <tableColumn id="23" xr3:uid="{9A49A64C-9A09-47A0-BC65-A8C1C98DACA3}" name="Spring Week 7" dataDxfId="44"/>
    <tableColumn id="24" xr3:uid="{191AACBA-3CF0-48E5-B522-FCD2CCE9AC99}" name="Spring Week 8" dataDxfId="43"/>
    <tableColumn id="25" xr3:uid="{DC35B6C1-904B-4E6A-A04F-ADF850A50D85}" name="Spring Week 9" dataDxfId="42"/>
    <tableColumn id="26" xr3:uid="{BEB9E86A-57BF-4A1E-A499-BADB9EAD1DE9}" name="Spring Week 10" dataDxfId="41"/>
    <tableColumn id="27" xr3:uid="{D640FB81-F093-4E3F-B7A1-6995DDDD6305}" name="Spring Week 11" dataDxfId="40"/>
    <tableColumn id="28" xr3:uid="{496FDC17-F0F2-4381-96DA-177DC578A786}" name="Spring Week 12" dataDxfId="39"/>
    <tableColumn id="32" xr3:uid="{65BCC67A-5DC9-4957-BB42-BCF5FCA71B17}" name="Total" dataDxfId="3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7" sqref="H27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415</v>
      </c>
      <c r="G26" s="11" t="s">
        <v>229</v>
      </c>
      <c r="H26" s="11" t="s">
        <v>320</v>
      </c>
      <c r="I26" s="11">
        <v>2</v>
      </c>
      <c r="J26" s="11">
        <f>IFERROR(AVERAGEIF(Table1[[#This Row],[Autumn Week 1]:[Spring Exams]],"&gt;0",Table1[[#This Row],[Autumn Week 1]:[Spring Exams]])*4*Table1[[#This Row],[Credits]],0)</f>
        <v>2.6666666666666665</v>
      </c>
      <c r="K26" s="11"/>
      <c r="L26" s="18"/>
      <c r="M26" s="18"/>
      <c r="N26" s="18">
        <v>0.06</v>
      </c>
      <c r="O26" s="18">
        <v>-3.5000000000000003E-2</v>
      </c>
      <c r="P26" s="18">
        <v>7.0000000000000007E-2</v>
      </c>
      <c r="Q26" s="18">
        <v>-0.05</v>
      </c>
      <c r="R26" s="18">
        <v>7.0000000000000007E-2</v>
      </c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414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351</v>
      </c>
      <c r="G28" s="11" t="s">
        <v>229</v>
      </c>
      <c r="H28" s="11" t="s">
        <v>304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343</v>
      </c>
      <c r="G29" s="11" t="s">
        <v>229</v>
      </c>
      <c r="H29" s="11" t="s">
        <v>298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308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20</v>
      </c>
      <c r="E31" s="29">
        <f>INDEX(Table2[Credits],MATCH(Table1[[#This Row],[Module Code]],Table2[Module Code],0))</f>
        <v>10</v>
      </c>
      <c r="F31" s="11" t="s">
        <v>377</v>
      </c>
      <c r="G31" s="11" t="s">
        <v>229</v>
      </c>
      <c r="H31" s="11" t="s">
        <v>304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0</v>
      </c>
      <c r="K31" s="11">
        <v>6</v>
      </c>
      <c r="L31" s="18"/>
      <c r="M31" s="18"/>
      <c r="N31" s="18"/>
      <c r="O31" s="19"/>
      <c r="P31" s="18"/>
      <c r="Q31" s="18"/>
      <c r="R31" s="18"/>
      <c r="S31" s="19"/>
      <c r="T31" s="18">
        <v>-0.2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</v>
      </c>
      <c r="AL31" s="27">
        <f>IF(Table1[[#This Row],[Hours]]&gt;0,Table1[[#This Row],[Hours]],Table1[[#This Row],[Nominal Hours]])*COUNTIF(Table1[[#This Row],[Autumn Week 1]:[Spring Week 12]],"&gt;0")</f>
        <v>0</v>
      </c>
    </row>
    <row r="32" spans="1:38">
      <c r="A32" s="48" t="s">
        <v>40</v>
      </c>
      <c r="B32" s="49" t="s">
        <v>41</v>
      </c>
      <c r="C32" s="50" t="s">
        <v>5</v>
      </c>
      <c r="D32" s="51">
        <f>INDEX(Table2[CA weight],MATCH(Table1[[#This Row],[Module Code]],Table2[Module Code],0))</f>
        <v>20</v>
      </c>
      <c r="E32" s="51">
        <f>INDEX(Table2[Credits],MATCH(Table1[[#This Row],[Module Code]],Table2[Module Code],0))</f>
        <v>10</v>
      </c>
      <c r="F32" s="50" t="s">
        <v>206</v>
      </c>
      <c r="G32" s="50" t="s">
        <v>229</v>
      </c>
      <c r="H32" s="50" t="s">
        <v>304</v>
      </c>
      <c r="I32" s="50">
        <v>3</v>
      </c>
      <c r="J32" s="50">
        <f>IFERROR(AVERAGEIF(Table1[[#This Row],[Autumn Week 1]:[Spring Exams]],"&gt;0",Table1[[#This Row],[Autumn Week 1]:[Spring Exams]])*4*Table1[[#This Row],[Credits]],0)</f>
        <v>8</v>
      </c>
      <c r="K32" s="50">
        <v>6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0.2</v>
      </c>
      <c r="AL32" s="27">
        <f>IF(Table1[[#This Row],[Hours]]&gt;0,Table1[[#This Row],[Hours]],Table1[[#This Row],[Nominal Hours]])*COUNTIF(Table1[[#This Row],[Autumn Week 1]:[Spring Week 12]],"&gt;0")</f>
        <v>6</v>
      </c>
    </row>
    <row r="33" spans="1:38" ht="28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383</v>
      </c>
      <c r="G33" s="11" t="s">
        <v>229</v>
      </c>
      <c r="H33" s="11" t="s">
        <v>344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382</v>
      </c>
      <c r="G34" s="11" t="s">
        <v>229</v>
      </c>
      <c r="H34" s="11" t="s">
        <v>298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298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384</v>
      </c>
      <c r="G36" s="11" t="s">
        <v>229</v>
      </c>
      <c r="H36" s="11" t="s">
        <v>298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8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8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8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8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8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8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8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8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8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8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8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>
        <v>0.3</v>
      </c>
      <c r="P170" s="18">
        <v>-0.3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tabSelected="1" workbookViewId="0">
      <pane xSplit="2" ySplit="1" topLeftCell="C34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opLeftCell="A36" workbookViewId="0">
      <pane xSplit="2" topLeftCell="C1" activePane="topRight" state="frozen"/>
      <selection pane="topRight" activeCell="V48" sqref="V48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U46">
        <v>0.5</v>
      </c>
      <c r="V46">
        <v>0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U47">
        <v>0.5</v>
      </c>
      <c r="V47">
        <v>0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>
        <f>100-Table2[[#This Row],[Exam Weight (%)]]</f>
        <v>75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2026-09-27T10:20:42Z</dcterms:modified>
</cp:coreProperties>
</file>