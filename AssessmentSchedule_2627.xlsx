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968" documentId="8_{F30C7968-F540-46E6-A81C-665FBDA0D3DA}" xr6:coauthVersionLast="47" xr6:coauthVersionMax="47" xr10:uidLastSave="{C0B50F5B-5B0D-4468-862C-2FC2AB068C54}"/>
  <bookViews>
    <workbookView xWindow="-98" yWindow="-98" windowWidth="26116" windowHeight="15675" xr2:uid="{A20BCC1C-F123-4C76-9181-B345A7D760BE}"/>
  </bookViews>
  <sheets>
    <sheet name="Assessments" sheetId="1" r:id="rId1"/>
    <sheet name="ContactTime" sheetId="3" r:id="rId2"/>
    <sheet name="Modu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2" i="1"/>
  <c r="W104" i="2"/>
  <c r="X104" i="2"/>
  <c r="W109" i="2"/>
  <c r="X109" i="2"/>
  <c r="W108" i="2"/>
  <c r="X108" i="2"/>
  <c r="W107" i="2"/>
  <c r="X107" i="2"/>
  <c r="W106" i="2"/>
  <c r="X106" i="2"/>
  <c r="W105" i="2"/>
  <c r="X105" i="2"/>
  <c r="W65" i="2"/>
  <c r="W46" i="2"/>
  <c r="W47" i="2"/>
  <c r="X46" i="2"/>
  <c r="X47" i="2"/>
  <c r="W48" i="2"/>
  <c r="W49" i="2"/>
  <c r="R27" i="1"/>
  <c r="AK27" i="1" s="1"/>
  <c r="P27" i="1"/>
  <c r="N27" i="1"/>
  <c r="D27" i="1"/>
  <c r="J27" i="1" s="1"/>
  <c r="AL27" i="1" s="1"/>
  <c r="AK118" i="1"/>
  <c r="D118" i="1"/>
  <c r="J118" i="1" l="1"/>
  <c r="AL118" i="1" s="1"/>
  <c r="AK76" i="1"/>
  <c r="D76" i="1"/>
  <c r="J76" i="1" s="1"/>
  <c r="AL76" i="1" s="1"/>
  <c r="AK85" i="1"/>
  <c r="D85" i="1"/>
  <c r="J85" i="1" s="1"/>
  <c r="AL85" i="1" s="1"/>
  <c r="D148" i="1"/>
  <c r="J148" i="1" s="1"/>
  <c r="AL148" i="1" s="1"/>
  <c r="AK148" i="1"/>
  <c r="D54" i="1"/>
  <c r="J54" i="1" s="1"/>
  <c r="D53" i="1"/>
  <c r="J53" i="1" s="1"/>
  <c r="D52" i="1"/>
  <c r="J52" i="1" s="1"/>
  <c r="D38" i="1"/>
  <c r="J38" i="1" s="1"/>
  <c r="D31" i="1"/>
  <c r="J31" i="1" s="1"/>
  <c r="D19" i="1"/>
  <c r="J19" i="1" s="1"/>
  <c r="D15" i="1"/>
  <c r="J15" i="1" s="1"/>
  <c r="D12" i="1"/>
  <c r="J12" i="1" s="1"/>
  <c r="D5" i="1"/>
  <c r="J5" i="1" s="1"/>
  <c r="AL24" i="1"/>
  <c r="AK24" i="1"/>
  <c r="D24" i="1"/>
  <c r="J24" i="1" s="1"/>
  <c r="AL25" i="1"/>
  <c r="AK25" i="1"/>
  <c r="D25" i="1"/>
  <c r="J25" i="1" s="1"/>
  <c r="D79" i="1"/>
  <c r="J79" i="1" s="1"/>
  <c r="AK79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X103" i="2" s="1"/>
  <c r="X65" i="2" l="1"/>
  <c r="X49" i="2"/>
  <c r="X99" i="2"/>
  <c r="AL79" i="1"/>
  <c r="X101" i="2"/>
  <c r="X102" i="2"/>
  <c r="X77" i="2"/>
  <c r="W39" i="2" l="1"/>
  <c r="C102" i="1" s="1"/>
  <c r="C177" i="1"/>
  <c r="C178" i="1"/>
  <c r="C179" i="1"/>
  <c r="C180" i="1"/>
  <c r="C181" i="1"/>
  <c r="C182" i="1"/>
  <c r="C183" i="1"/>
  <c r="C184" i="1"/>
  <c r="D124" i="1"/>
  <c r="J124" i="1" s="1"/>
  <c r="D125" i="1"/>
  <c r="J125" i="1" s="1"/>
  <c r="D126" i="1"/>
  <c r="J126" i="1" s="1"/>
  <c r="D127" i="1"/>
  <c r="J127" i="1" s="1"/>
  <c r="D128" i="1"/>
  <c r="J128" i="1" s="1"/>
  <c r="D129" i="1"/>
  <c r="J129" i="1" s="1"/>
  <c r="D130" i="1"/>
  <c r="J130" i="1" s="1"/>
  <c r="D131" i="1"/>
  <c r="J131" i="1" s="1"/>
  <c r="D132" i="1"/>
  <c r="J132" i="1" s="1"/>
  <c r="D116" i="1"/>
  <c r="J116" i="1" s="1"/>
  <c r="D115" i="1"/>
  <c r="J115" i="1" s="1"/>
  <c r="D102" i="1"/>
  <c r="J102" i="1" s="1"/>
  <c r="D101" i="1"/>
  <c r="J101" i="1" s="1"/>
  <c r="D96" i="1"/>
  <c r="J96" i="1" s="1"/>
  <c r="W97" i="2"/>
  <c r="M73" i="1"/>
  <c r="N73" i="1"/>
  <c r="O73" i="1"/>
  <c r="P73" i="1"/>
  <c r="Q73" i="1"/>
  <c r="R73" i="1"/>
  <c r="S73" i="1"/>
  <c r="T73" i="1"/>
  <c r="U73" i="1"/>
  <c r="AL38" i="1"/>
  <c r="L111" i="1"/>
  <c r="X39" i="2"/>
  <c r="AL31" i="1"/>
  <c r="AL19" i="1"/>
  <c r="AL15" i="1"/>
  <c r="AL12" i="1"/>
  <c r="AL5" i="1"/>
  <c r="AL52" i="1"/>
  <c r="AL53" i="1"/>
  <c r="AL54" i="1"/>
  <c r="D184" i="1"/>
  <c r="J184" i="1" s="1"/>
  <c r="D183" i="1"/>
  <c r="J183" i="1" s="1"/>
  <c r="D182" i="1"/>
  <c r="J182" i="1" s="1"/>
  <c r="D181" i="1"/>
  <c r="J181" i="1" s="1"/>
  <c r="D180" i="1"/>
  <c r="J180" i="1" s="1"/>
  <c r="D179" i="1"/>
  <c r="J179" i="1" s="1"/>
  <c r="D178" i="1"/>
  <c r="J178" i="1" s="1"/>
  <c r="D177" i="1"/>
  <c r="J177" i="1" s="1"/>
  <c r="D176" i="1"/>
  <c r="J176" i="1" s="1"/>
  <c r="D175" i="1"/>
  <c r="J175" i="1" s="1"/>
  <c r="D174" i="1"/>
  <c r="J174" i="1" s="1"/>
  <c r="D173" i="1"/>
  <c r="J173" i="1" s="1"/>
  <c r="D172" i="1"/>
  <c r="J172" i="1" s="1"/>
  <c r="D171" i="1"/>
  <c r="J171" i="1" s="1"/>
  <c r="D170" i="1"/>
  <c r="J170" i="1" s="1"/>
  <c r="D169" i="1"/>
  <c r="J169" i="1" s="1"/>
  <c r="D168" i="1"/>
  <c r="J168" i="1" s="1"/>
  <c r="D167" i="1"/>
  <c r="J167" i="1" s="1"/>
  <c r="D166" i="1"/>
  <c r="J166" i="1" s="1"/>
  <c r="D165" i="1"/>
  <c r="J165" i="1" s="1"/>
  <c r="D164" i="1"/>
  <c r="J164" i="1" s="1"/>
  <c r="D163" i="1"/>
  <c r="J163" i="1" s="1"/>
  <c r="D162" i="1"/>
  <c r="J162" i="1" s="1"/>
  <c r="D161" i="1"/>
  <c r="J161" i="1" s="1"/>
  <c r="D160" i="1"/>
  <c r="J160" i="1" s="1"/>
  <c r="D159" i="1"/>
  <c r="J159" i="1" s="1"/>
  <c r="D158" i="1"/>
  <c r="J158" i="1" s="1"/>
  <c r="D157" i="1"/>
  <c r="J157" i="1" s="1"/>
  <c r="D156" i="1"/>
  <c r="J156" i="1" s="1"/>
  <c r="D155" i="1"/>
  <c r="J155" i="1" s="1"/>
  <c r="D154" i="1"/>
  <c r="J154" i="1" s="1"/>
  <c r="D153" i="1"/>
  <c r="J153" i="1" s="1"/>
  <c r="D152" i="1"/>
  <c r="D151" i="1"/>
  <c r="J151" i="1" s="1"/>
  <c r="D150" i="1"/>
  <c r="J150" i="1" s="1"/>
  <c r="D149" i="1"/>
  <c r="J149" i="1" s="1"/>
  <c r="D147" i="1"/>
  <c r="J147" i="1" s="1"/>
  <c r="D146" i="1"/>
  <c r="J146" i="1" s="1"/>
  <c r="D145" i="1"/>
  <c r="J145" i="1" s="1"/>
  <c r="D144" i="1"/>
  <c r="J144" i="1" s="1"/>
  <c r="D143" i="1"/>
  <c r="J143" i="1" s="1"/>
  <c r="D142" i="1"/>
  <c r="J142" i="1" s="1"/>
  <c r="D141" i="1"/>
  <c r="J141" i="1" s="1"/>
  <c r="D140" i="1"/>
  <c r="J140" i="1" s="1"/>
  <c r="D139" i="1"/>
  <c r="J139" i="1" s="1"/>
  <c r="D138" i="1"/>
  <c r="J138" i="1" s="1"/>
  <c r="D137" i="1"/>
  <c r="J137" i="1" s="1"/>
  <c r="D136" i="1"/>
  <c r="J136" i="1" s="1"/>
  <c r="D135" i="1"/>
  <c r="J135" i="1" s="1"/>
  <c r="D134" i="1"/>
  <c r="J134" i="1" s="1"/>
  <c r="D133" i="1"/>
  <c r="J133" i="1" s="1"/>
  <c r="D123" i="1"/>
  <c r="J123" i="1" s="1"/>
  <c r="D122" i="1"/>
  <c r="J122" i="1" s="1"/>
  <c r="D121" i="1"/>
  <c r="J121" i="1" s="1"/>
  <c r="D120" i="1"/>
  <c r="J120" i="1" s="1"/>
  <c r="D119" i="1"/>
  <c r="J119" i="1" s="1"/>
  <c r="D117" i="1"/>
  <c r="J117" i="1" s="1"/>
  <c r="D114" i="1"/>
  <c r="J114" i="1" s="1"/>
  <c r="D113" i="1"/>
  <c r="J113" i="1" s="1"/>
  <c r="D112" i="1"/>
  <c r="J112" i="1" s="1"/>
  <c r="D111" i="1"/>
  <c r="D110" i="1"/>
  <c r="J110" i="1" s="1"/>
  <c r="D109" i="1"/>
  <c r="J109" i="1" s="1"/>
  <c r="D108" i="1"/>
  <c r="J108" i="1" s="1"/>
  <c r="D107" i="1"/>
  <c r="J107" i="1" s="1"/>
  <c r="D106" i="1"/>
  <c r="J106" i="1" s="1"/>
  <c r="D105" i="1"/>
  <c r="J105" i="1" s="1"/>
  <c r="D104" i="1"/>
  <c r="J104" i="1" s="1"/>
  <c r="D103" i="1"/>
  <c r="J103" i="1" s="1"/>
  <c r="D100" i="1"/>
  <c r="J100" i="1" s="1"/>
  <c r="D99" i="1"/>
  <c r="J99" i="1" s="1"/>
  <c r="D98" i="1"/>
  <c r="J98" i="1" s="1"/>
  <c r="D97" i="1"/>
  <c r="J97" i="1" s="1"/>
  <c r="D95" i="1"/>
  <c r="J95" i="1" s="1"/>
  <c r="D94" i="1"/>
  <c r="J94" i="1" s="1"/>
  <c r="D93" i="1"/>
  <c r="J93" i="1" s="1"/>
  <c r="D92" i="1"/>
  <c r="J92" i="1" s="1"/>
  <c r="D91" i="1"/>
  <c r="J91" i="1" s="1"/>
  <c r="D90" i="1"/>
  <c r="J90" i="1" s="1"/>
  <c r="D89" i="1"/>
  <c r="J89" i="1" s="1"/>
  <c r="D88" i="1"/>
  <c r="J88" i="1" s="1"/>
  <c r="D87" i="1"/>
  <c r="J87" i="1" s="1"/>
  <c r="D86" i="1"/>
  <c r="J86" i="1" s="1"/>
  <c r="D84" i="1"/>
  <c r="J84" i="1" s="1"/>
  <c r="D83" i="1"/>
  <c r="J83" i="1" s="1"/>
  <c r="D82" i="1"/>
  <c r="J82" i="1" s="1"/>
  <c r="D81" i="1"/>
  <c r="J81" i="1" s="1"/>
  <c r="D80" i="1"/>
  <c r="J80" i="1" s="1"/>
  <c r="D78" i="1"/>
  <c r="J78" i="1" s="1"/>
  <c r="D77" i="1"/>
  <c r="J77" i="1" s="1"/>
  <c r="D75" i="1"/>
  <c r="J75" i="1" s="1"/>
  <c r="D74" i="1"/>
  <c r="J74" i="1" s="1"/>
  <c r="D73" i="1"/>
  <c r="D72" i="1"/>
  <c r="J72" i="1" s="1"/>
  <c r="D71" i="1"/>
  <c r="J71" i="1" s="1"/>
  <c r="D70" i="1"/>
  <c r="J70" i="1" s="1"/>
  <c r="D69" i="1"/>
  <c r="J69" i="1" s="1"/>
  <c r="D68" i="1"/>
  <c r="J68" i="1" s="1"/>
  <c r="D67" i="1"/>
  <c r="J67" i="1" s="1"/>
  <c r="D66" i="1"/>
  <c r="J66" i="1" s="1"/>
  <c r="D65" i="1"/>
  <c r="J65" i="1" s="1"/>
  <c r="D64" i="1"/>
  <c r="J64" i="1" s="1"/>
  <c r="D63" i="1"/>
  <c r="J63" i="1" s="1"/>
  <c r="D62" i="1"/>
  <c r="J62" i="1" s="1"/>
  <c r="D61" i="1"/>
  <c r="J61" i="1" s="1"/>
  <c r="D60" i="1"/>
  <c r="J60" i="1" s="1"/>
  <c r="D59" i="1"/>
  <c r="J59" i="1" s="1"/>
  <c r="D58" i="1"/>
  <c r="J58" i="1" s="1"/>
  <c r="D57" i="1"/>
  <c r="J57" i="1" s="1"/>
  <c r="D56" i="1"/>
  <c r="J56" i="1" s="1"/>
  <c r="D55" i="1"/>
  <c r="J55" i="1" s="1"/>
  <c r="D51" i="1"/>
  <c r="J51" i="1" s="1"/>
  <c r="D50" i="1"/>
  <c r="J50" i="1" s="1"/>
  <c r="D49" i="1"/>
  <c r="J49" i="1" s="1"/>
  <c r="D48" i="1"/>
  <c r="J48" i="1" s="1"/>
  <c r="D47" i="1"/>
  <c r="J47" i="1" s="1"/>
  <c r="D46" i="1"/>
  <c r="J46" i="1" s="1"/>
  <c r="D45" i="1"/>
  <c r="J45" i="1" s="1"/>
  <c r="D44" i="1"/>
  <c r="J44" i="1" s="1"/>
  <c r="D39" i="1"/>
  <c r="J39" i="1" s="1"/>
  <c r="D37" i="1"/>
  <c r="J37" i="1" s="1"/>
  <c r="D36" i="1"/>
  <c r="J36" i="1" s="1"/>
  <c r="D35" i="1"/>
  <c r="J35" i="1" s="1"/>
  <c r="D34" i="1"/>
  <c r="J34" i="1" s="1"/>
  <c r="D33" i="1"/>
  <c r="J33" i="1" s="1"/>
  <c r="D32" i="1"/>
  <c r="J32" i="1" s="1"/>
  <c r="D30" i="1"/>
  <c r="J30" i="1" s="1"/>
  <c r="D29" i="1"/>
  <c r="J29" i="1" s="1"/>
  <c r="D43" i="1"/>
  <c r="J43" i="1" s="1"/>
  <c r="D42" i="1"/>
  <c r="J42" i="1" s="1"/>
  <c r="D41" i="1"/>
  <c r="J41" i="1" s="1"/>
  <c r="D40" i="1"/>
  <c r="J40" i="1" s="1"/>
  <c r="D28" i="1"/>
  <c r="J28" i="1" s="1"/>
  <c r="D26" i="1"/>
  <c r="J26" i="1" s="1"/>
  <c r="D23" i="1"/>
  <c r="J23" i="1" s="1"/>
  <c r="D22" i="1"/>
  <c r="J22" i="1" s="1"/>
  <c r="D21" i="1"/>
  <c r="J21" i="1" s="1"/>
  <c r="D20" i="1"/>
  <c r="J20" i="1" s="1"/>
  <c r="D18" i="1"/>
  <c r="J18" i="1" s="1"/>
  <c r="D17" i="1"/>
  <c r="J17" i="1" s="1"/>
  <c r="D16" i="1"/>
  <c r="J16" i="1" s="1"/>
  <c r="D14" i="1"/>
  <c r="J14" i="1" s="1"/>
  <c r="D13" i="1"/>
  <c r="J13" i="1" s="1"/>
  <c r="D11" i="1"/>
  <c r="J11" i="1" s="1"/>
  <c r="D10" i="1"/>
  <c r="J10" i="1" s="1"/>
  <c r="D9" i="1"/>
  <c r="J9" i="1" s="1"/>
  <c r="D8" i="1"/>
  <c r="J8" i="1" s="1"/>
  <c r="D7" i="1"/>
  <c r="J7" i="1" s="1"/>
  <c r="D6" i="1"/>
  <c r="J6" i="1" s="1"/>
  <c r="D4" i="1"/>
  <c r="J4" i="1" s="1"/>
  <c r="D3" i="1"/>
  <c r="J3" i="1" s="1"/>
  <c r="D2" i="1"/>
  <c r="J2" i="1" s="1"/>
  <c r="X97" i="2"/>
  <c r="L152" i="1"/>
  <c r="AL156" i="1"/>
  <c r="AL158" i="1"/>
  <c r="C172" i="1" l="1"/>
  <c r="C171" i="1"/>
  <c r="C170" i="1"/>
  <c r="C168" i="1"/>
  <c r="C167" i="1"/>
  <c r="J152" i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C169" i="1"/>
  <c r="C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X48" i="2" s="1"/>
  <c r="AL119" i="1"/>
  <c r="AL21" i="1" l="1"/>
  <c r="AL2" i="1"/>
  <c r="AL163" i="1"/>
  <c r="AK7" i="1" l="1"/>
  <c r="AK6" i="1"/>
  <c r="C62" i="3"/>
  <c r="D62" i="3"/>
  <c r="E62" i="3"/>
  <c r="AE62" i="3"/>
  <c r="AL162" i="1"/>
  <c r="AL161" i="1"/>
  <c r="AL160" i="1"/>
  <c r="X11" i="2"/>
  <c r="X94" i="2"/>
  <c r="X96" i="2"/>
  <c r="AL142" i="1"/>
  <c r="W96" i="2"/>
  <c r="C163" i="1" s="1"/>
  <c r="W95" i="2"/>
  <c r="W94" i="2"/>
  <c r="U93" i="2"/>
  <c r="W93" i="2"/>
  <c r="W63" i="2"/>
  <c r="AK141" i="1" l="1"/>
  <c r="C162" i="1"/>
  <c r="C161" i="1"/>
  <c r="C160" i="1"/>
  <c r="C142" i="1"/>
  <c r="C141" i="1"/>
  <c r="C166" i="1"/>
  <c r="C165" i="1"/>
  <c r="C164" i="1"/>
  <c r="X95" i="2"/>
  <c r="AL141" i="1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AL97" i="1"/>
  <c r="AL103" i="1"/>
  <c r="AL104" i="1"/>
  <c r="AL105" i="1"/>
  <c r="AL106" i="1"/>
  <c r="AL107" i="1"/>
  <c r="AL110" i="1"/>
  <c r="AL122" i="1"/>
  <c r="AL128" i="1"/>
  <c r="AL129" i="1"/>
  <c r="AL133" i="1"/>
  <c r="AL135" i="1"/>
  <c r="AL136" i="1"/>
  <c r="AL145" i="1"/>
  <c r="AL154" i="1"/>
  <c r="AL155" i="1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56" i="3"/>
  <c r="AE40" i="3"/>
  <c r="AE41" i="3"/>
  <c r="AE42" i="3"/>
  <c r="AE43" i="3"/>
  <c r="AE45" i="3"/>
  <c r="AE46" i="3"/>
  <c r="AE47" i="3"/>
  <c r="AE48" i="3"/>
  <c r="AE49" i="3"/>
  <c r="AE50" i="3"/>
  <c r="AE51" i="3"/>
  <c r="AE52" i="3"/>
  <c r="AE53" i="3"/>
  <c r="AE54" i="3"/>
  <c r="AE55" i="3"/>
  <c r="AE57" i="3"/>
  <c r="AE58" i="3"/>
  <c r="AE59" i="3"/>
  <c r="AE60" i="3"/>
  <c r="AE61" i="3"/>
  <c r="AE63" i="3"/>
  <c r="AE64" i="3"/>
  <c r="X63" i="2" l="1"/>
  <c r="X93" i="2"/>
  <c r="AL152" i="1"/>
  <c r="AL111" i="1"/>
  <c r="C11" i="3" l="1"/>
  <c r="D11" i="3"/>
  <c r="E11" i="3"/>
  <c r="W11" i="2"/>
  <c r="G44" i="3"/>
  <c r="AE44" i="3" s="1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2" i="3"/>
  <c r="D3" i="3"/>
  <c r="D4" i="3"/>
  <c r="D5" i="3"/>
  <c r="D6" i="3"/>
  <c r="D7" i="3"/>
  <c r="D8" i="3"/>
  <c r="D9" i="3"/>
  <c r="D10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56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7" i="3"/>
  <c r="D58" i="3"/>
  <c r="D59" i="3"/>
  <c r="D60" i="3"/>
  <c r="D61" i="3"/>
  <c r="D63" i="3"/>
  <c r="D64" i="3"/>
  <c r="C64" i="3"/>
  <c r="C63" i="3"/>
  <c r="C61" i="3"/>
  <c r="C60" i="3"/>
  <c r="C59" i="3"/>
  <c r="C58" i="3"/>
  <c r="C57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56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0" i="3"/>
  <c r="C9" i="3"/>
  <c r="C8" i="3"/>
  <c r="C7" i="3"/>
  <c r="C6" i="3"/>
  <c r="C5" i="3"/>
  <c r="C4" i="3"/>
  <c r="C3" i="3"/>
  <c r="C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AL4" i="1"/>
  <c r="AL8" i="1"/>
  <c r="AL13" i="1"/>
  <c r="AL14" i="1"/>
  <c r="AL18" i="1"/>
  <c r="AL20" i="1"/>
  <c r="AL22" i="1"/>
  <c r="AL42" i="1"/>
  <c r="AL39" i="1"/>
  <c r="AL49" i="1"/>
  <c r="AL51" i="1"/>
  <c r="AL57" i="1"/>
  <c r="AL58" i="1"/>
  <c r="AL60" i="1"/>
  <c r="AL61" i="1"/>
  <c r="AL63" i="1"/>
  <c r="AL65" i="1"/>
  <c r="AL67" i="1"/>
  <c r="AL69" i="1"/>
  <c r="AL72" i="1"/>
  <c r="AL78" i="1"/>
  <c r="AL80" i="1"/>
  <c r="AL88" i="1"/>
  <c r="AL91" i="1"/>
  <c r="AL92" i="1"/>
  <c r="AL93" i="1"/>
  <c r="AL94" i="1"/>
  <c r="AL95" i="1"/>
  <c r="AL99" i="1"/>
  <c r="AL100" i="1"/>
  <c r="AL108" i="1"/>
  <c r="AL109" i="1"/>
  <c r="AL112" i="1"/>
  <c r="AL113" i="1"/>
  <c r="AL114" i="1"/>
  <c r="AL117" i="1"/>
  <c r="AL120" i="1"/>
  <c r="AL121" i="1"/>
  <c r="AL123" i="1"/>
  <c r="AL127" i="1"/>
  <c r="AL130" i="1"/>
  <c r="AL131" i="1"/>
  <c r="AL132" i="1"/>
  <c r="AL134" i="1"/>
  <c r="AL138" i="1"/>
  <c r="AL140" i="1"/>
  <c r="AL143" i="1"/>
  <c r="AL146" i="1"/>
  <c r="AL149" i="1"/>
  <c r="AL153" i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C176" i="1" l="1"/>
  <c r="C174" i="1"/>
  <c r="C175" i="1"/>
  <c r="C173" i="1"/>
  <c r="X98" i="2"/>
  <c r="AL11" i="1"/>
  <c r="AL44" i="1"/>
  <c r="AL10" i="1"/>
  <c r="AL33" i="1"/>
  <c r="AL26" i="1"/>
  <c r="W2" i="2"/>
  <c r="W3" i="2"/>
  <c r="C5" i="1" s="1"/>
  <c r="W4" i="2"/>
  <c r="W5" i="2"/>
  <c r="C12" i="1" s="1"/>
  <c r="W6" i="2"/>
  <c r="C13" i="1" s="1"/>
  <c r="W7" i="2"/>
  <c r="C15" i="1" s="1"/>
  <c r="W8" i="2"/>
  <c r="C19" i="1" s="1"/>
  <c r="W9" i="2"/>
  <c r="C20" i="1" s="1"/>
  <c r="W10" i="2"/>
  <c r="W12" i="2"/>
  <c r="W13" i="2"/>
  <c r="C27" i="1" s="1"/>
  <c r="W14" i="2"/>
  <c r="W15" i="2"/>
  <c r="C31" i="1" s="1"/>
  <c r="W16" i="2"/>
  <c r="C32" i="1" s="1"/>
  <c r="W17" i="2"/>
  <c r="W18" i="2"/>
  <c r="C38" i="1" s="1"/>
  <c r="W19" i="2"/>
  <c r="W20" i="2"/>
  <c r="W21" i="2"/>
  <c r="W22" i="2"/>
  <c r="C57" i="1" s="1"/>
  <c r="W23" i="2"/>
  <c r="W24" i="2"/>
  <c r="W25" i="2"/>
  <c r="W26" i="2"/>
  <c r="W27" i="2"/>
  <c r="W28" i="2"/>
  <c r="C73" i="1" s="1"/>
  <c r="W29" i="2"/>
  <c r="C76" i="1" s="1"/>
  <c r="W30" i="2"/>
  <c r="W31" i="2"/>
  <c r="W32" i="2"/>
  <c r="C85" i="1" s="1"/>
  <c r="W33" i="2"/>
  <c r="W34" i="2"/>
  <c r="W35" i="2"/>
  <c r="W36" i="2"/>
  <c r="W37" i="2"/>
  <c r="W38" i="2"/>
  <c r="C100" i="1" s="1"/>
  <c r="W40" i="2"/>
  <c r="W41" i="2"/>
  <c r="W42" i="2"/>
  <c r="C108" i="1" s="1"/>
  <c r="W43" i="2"/>
  <c r="C109" i="1" s="1"/>
  <c r="W44" i="2"/>
  <c r="C110" i="1" s="1"/>
  <c r="W45" i="2"/>
  <c r="C118" i="1"/>
  <c r="W50" i="2"/>
  <c r="C122" i="1" s="1"/>
  <c r="W51" i="2"/>
  <c r="W52" i="2"/>
  <c r="W53" i="2"/>
  <c r="W54" i="2"/>
  <c r="C131" i="1" s="1"/>
  <c r="W55" i="2"/>
  <c r="C132" i="1" s="1"/>
  <c r="W56" i="2"/>
  <c r="W57" i="2"/>
  <c r="W58" i="2"/>
  <c r="W59" i="2"/>
  <c r="W60" i="2"/>
  <c r="C145" i="1" s="1"/>
  <c r="W61" i="2"/>
  <c r="W62" i="2"/>
  <c r="C148" i="1" s="1"/>
  <c r="W64" i="2"/>
  <c r="X9" i="2"/>
  <c r="X10" i="2"/>
  <c r="X22" i="2"/>
  <c r="X36" i="2"/>
  <c r="X38" i="2"/>
  <c r="X43" i="2"/>
  <c r="X44" i="2"/>
  <c r="C24" i="1" l="1"/>
  <c r="C25" i="1"/>
  <c r="C54" i="1"/>
  <c r="C53" i="1"/>
  <c r="C52" i="1"/>
  <c r="C78" i="1"/>
  <c r="C79" i="1"/>
  <c r="C136" i="1"/>
  <c r="C137" i="1"/>
  <c r="C43" i="1"/>
  <c r="C42" i="1"/>
  <c r="C41" i="1"/>
  <c r="C40" i="1"/>
  <c r="C138" i="1"/>
  <c r="C140" i="1"/>
  <c r="C139" i="1"/>
  <c r="C133" i="1"/>
  <c r="C135" i="1"/>
  <c r="C134" i="1"/>
  <c r="C119" i="1"/>
  <c r="C117" i="1"/>
  <c r="C97" i="1"/>
  <c r="C99" i="1"/>
  <c r="C98" i="1"/>
  <c r="C74" i="1"/>
  <c r="C77" i="1"/>
  <c r="C75" i="1"/>
  <c r="C56" i="1"/>
  <c r="C55" i="1"/>
  <c r="C28" i="1"/>
  <c r="C26" i="1"/>
  <c r="C8" i="1"/>
  <c r="C7" i="1"/>
  <c r="C10" i="1"/>
  <c r="C9" i="1"/>
  <c r="C11" i="1"/>
  <c r="C116" i="1"/>
  <c r="C115" i="1"/>
  <c r="C113" i="1"/>
  <c r="C112" i="1"/>
  <c r="C111" i="1"/>
  <c r="C114" i="1"/>
  <c r="C96" i="1"/>
  <c r="C95" i="1"/>
  <c r="C51" i="1"/>
  <c r="C50" i="1"/>
  <c r="C23" i="1"/>
  <c r="C6" i="1"/>
  <c r="C4" i="1"/>
  <c r="C144" i="1"/>
  <c r="C143" i="1"/>
  <c r="C124" i="1"/>
  <c r="C123" i="1"/>
  <c r="C107" i="1"/>
  <c r="C106" i="1"/>
  <c r="C105" i="1"/>
  <c r="C83" i="1"/>
  <c r="C86" i="1"/>
  <c r="C84" i="1"/>
  <c r="C61" i="1"/>
  <c r="C60" i="1"/>
  <c r="C16" i="1"/>
  <c r="C14" i="1"/>
  <c r="C159" i="1"/>
  <c r="C158" i="1"/>
  <c r="C154" i="1"/>
  <c r="C155" i="1"/>
  <c r="C157" i="1"/>
  <c r="C153" i="1"/>
  <c r="C156" i="1"/>
  <c r="C152" i="1"/>
  <c r="C150" i="1"/>
  <c r="C149" i="1"/>
  <c r="C151" i="1"/>
  <c r="C94" i="1"/>
  <c r="C92" i="1"/>
  <c r="C93" i="1"/>
  <c r="C91" i="1"/>
  <c r="C70" i="1"/>
  <c r="C72" i="1"/>
  <c r="C71" i="1"/>
  <c r="C47" i="1"/>
  <c r="C46" i="1"/>
  <c r="C49" i="1"/>
  <c r="C45" i="1"/>
  <c r="C48" i="1"/>
  <c r="C44" i="1"/>
  <c r="C3" i="1"/>
  <c r="C2" i="1"/>
  <c r="C146" i="1"/>
  <c r="C147" i="1"/>
  <c r="C129" i="1"/>
  <c r="C130" i="1"/>
  <c r="C68" i="1"/>
  <c r="C69" i="1"/>
  <c r="C67" i="1"/>
  <c r="C66" i="1"/>
  <c r="C39" i="1"/>
  <c r="C37" i="1"/>
  <c r="C104" i="1"/>
  <c r="C103" i="1"/>
  <c r="C82" i="1"/>
  <c r="C80" i="1"/>
  <c r="C81" i="1"/>
  <c r="C58" i="1"/>
  <c r="C59" i="1"/>
  <c r="C128" i="1"/>
  <c r="C125" i="1"/>
  <c r="C126" i="1"/>
  <c r="C127" i="1"/>
  <c r="C88" i="1"/>
  <c r="C87" i="1"/>
  <c r="C65" i="1"/>
  <c r="C64" i="1"/>
  <c r="C62" i="1"/>
  <c r="C63" i="1"/>
  <c r="C34" i="1"/>
  <c r="C33" i="1"/>
  <c r="C36" i="1"/>
  <c r="C35" i="1"/>
  <c r="C18" i="1"/>
  <c r="C17" i="1"/>
  <c r="C121" i="1"/>
  <c r="C120" i="1"/>
  <c r="C21" i="1"/>
  <c r="C22" i="1"/>
  <c r="C89" i="1"/>
  <c r="C90" i="1"/>
  <c r="C30" i="1"/>
  <c r="C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AL40" i="1" l="1"/>
  <c r="AL70" i="1"/>
  <c r="AL125" i="1"/>
  <c r="AL66" i="1"/>
  <c r="AL62" i="1"/>
  <c r="AL74" i="1"/>
  <c r="X14" i="2"/>
  <c r="X25" i="2"/>
  <c r="X27" i="2"/>
  <c r="X26" i="2"/>
  <c r="X23" i="2"/>
  <c r="X82" i="2" l="1"/>
  <c r="X52" i="2"/>
  <c r="X29" i="2"/>
  <c r="X67" i="2"/>
  <c r="AL73" i="1"/>
  <c r="X28" i="2" l="1"/>
  <c r="X66" i="2"/>
</calcChain>
</file>

<file path=xl/sharedStrings.xml><?xml version="1.0" encoding="utf-8"?>
<sst xmlns="http://schemas.openxmlformats.org/spreadsheetml/2006/main" count="2628" uniqueCount="401">
  <si>
    <t>Module Code</t>
  </si>
  <si>
    <t>PX3141</t>
  </si>
  <si>
    <t>Atomic and Nuclear Physics</t>
  </si>
  <si>
    <t>CA type</t>
  </si>
  <si>
    <t>CT</t>
  </si>
  <si>
    <t>CW</t>
  </si>
  <si>
    <t>Module Title</t>
  </si>
  <si>
    <t>PX3143</t>
  </si>
  <si>
    <t>Computational Physics</t>
  </si>
  <si>
    <t>PX3145</t>
  </si>
  <si>
    <t>Formation and Evolution of Stars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</si>
  <si>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</si>
  <si>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</si>
  <si>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</si>
  <si>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</si>
  <si>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</si>
  <si>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</si>
  <si>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</si>
  <si>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</si>
  <si>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</si>
  <si>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</si>
  <si>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</si>
  <si>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</si>
  <si>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</si>
  <si>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</si>
  <si>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</si>
  <si>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</si>
  <si>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</si>
  <si>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</si>
  <si>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</si>
  <si>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</si>
  <si>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</si>
  <si>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</si>
  <si>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</si>
  <si>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</si>
  <si>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</si>
  <si>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</si>
  <si>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PX2140</t>
  </si>
  <si>
    <t>The Stars and their Planets</t>
  </si>
  <si>
    <t>Pathways to success</t>
  </si>
  <si>
    <t>Biophysics</t>
  </si>
  <si>
    <t>PX2141</t>
  </si>
  <si>
    <t>PX2144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</si>
  <si>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</si>
  <si>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</si>
  <si>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</si>
  <si>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</si>
  <si>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</si>
  <si>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</si>
  <si>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</si>
  <si>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</si>
  <si>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</si>
  <si>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Experimental Physics </t>
  </si>
  <si>
    <t>PX1150</t>
  </si>
  <si>
    <t>PX4124</t>
  </si>
  <si>
    <t>Introduction to General Relativity</t>
  </si>
  <si>
    <t>PX4131</t>
  </si>
  <si>
    <t>Compound Semiconductor Fabrication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</si>
  <si>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</si>
  <si>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</si>
  <si>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</si>
  <si>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</si>
  <si>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</si>
  <si>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</si>
  <si>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</si>
  <si>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</si>
  <si>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</si>
  <si>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</si>
  <si>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</si>
  <si>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</si>
  <si>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</si>
  <si>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</si>
  <si>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</si>
  <si>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</si>
  <si>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</si>
  <si>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</si>
  <si>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</si>
  <si>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</si>
  <si>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</si>
  <si>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</si>
  <si>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</si>
  <si>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</si>
  <si>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</si>
  <si>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</si>
  <si>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</si>
  <si>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</si>
  <si>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</si>
  <si>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</si>
  <si>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</si>
  <si>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</si>
  <si>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</si>
  <si>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</si>
  <si>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</si>
  <si>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</si>
  <si>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</si>
  <si>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</si>
  <si>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</si>
  <si>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</si>
  <si>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</si>
  <si>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</si>
  <si>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</si>
  <si>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</si>
  <si>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</si>
  <si>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</si>
  <si>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</si>
  <si>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</si>
  <si>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</si>
  <si>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</si>
  <si>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</si>
  <si>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</si>
  <si>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</si>
  <si>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</si>
  <si>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</si>
  <si>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</si>
  <si>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</si>
  <si>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</si>
  <si>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</si>
  <si>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</si>
  <si>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</si>
  <si>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</si>
  <si>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</si>
  <si>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</si>
  <si>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</si>
  <si>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</si>
  <si>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</si>
  <si>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</si>
  <si>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</si>
  <si>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</si>
  <si>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</si>
  <si>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</si>
  <si>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</si>
  <si>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</si>
  <si>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</si>
  <si>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</si>
  <si>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</si>
  <si>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</si>
  <si>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</si>
  <si>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</si>
  <si>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</si>
  <si>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</si>
  <si>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</si>
  <si>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</si>
  <si>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</si>
  <si>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</si>
  <si>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</si>
  <si>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</si>
  <si>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</si>
  <si>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</si>
  <si>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</si>
  <si>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</si>
  <si>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</si>
  <si>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</si>
  <si>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</si>
  <si>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</si>
  <si>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</si>
  <si>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</si>
  <si>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</si>
  <si>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</si>
  <si>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</si>
  <si>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</si>
  <si>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</si>
  <si>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</si>
  <si>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</si>
  <si>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</si>
  <si>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</si>
  <si>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</si>
  <si>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</si>
  <si>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</si>
  <si>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</si>
  <si>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</si>
  <si>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</si>
  <si>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</si>
  <si>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</si>
  <si>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</si>
  <si>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</si>
  <si>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</si>
  <si>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</si>
  <si>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</si>
  <si>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</si>
  <si>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</si>
  <si>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</si>
  <si>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</si>
  <si>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</si>
  <si>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</si>
  <si>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</si>
  <si>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</si>
  <si>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</si>
  <si>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</si>
  <si>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</si>
  <si>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</si>
  <si>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</si>
  <si>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</si>
  <si>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</si>
  <si>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</si>
  <si>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</si>
  <si>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</si>
  <si>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</si>
  <si>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</si>
  <si>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</si>
  <si>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</si>
  <si>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</si>
  <si>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</si>
  <si>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</si>
  <si>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</si>
  <si>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</si>
  <si>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</si>
  <si>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</si>
  <si>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</si>
  <si>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</si>
  <si>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</si>
  <si>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</si>
  <si>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Total</t>
  </si>
  <si>
    <t>Total Hours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</si>
  <si>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</si>
  <si>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</si>
  <si>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</si>
  <si>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</si>
  <si>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</si>
  <si>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</si>
  <si>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</si>
  <si>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</si>
  <si>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</si>
  <si>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</si>
  <si>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</si>
  <si>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</si>
  <si>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</si>
  <si>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</si>
  <si>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</si>
  <si>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</si>
  <si>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</si>
  <si>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</si>
  <si>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</si>
  <si>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</si>
  <si>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</si>
  <si>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</si>
  <si>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</si>
  <si>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</si>
  <si>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</si>
  <si>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</si>
  <si>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</si>
  <si>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</si>
  <si>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</si>
  <si>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</si>
  <si>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</si>
  <si>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</si>
  <si>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</si>
  <si>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</si>
  <si>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</si>
  <si>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</si>
  <si>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</si>
  <si>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</si>
  <si>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</si>
  <si>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</si>
  <si>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</si>
  <si>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</si>
  <si>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</si>
  <si>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</si>
  <si>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</si>
  <si>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</si>
  <si>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</si>
  <si>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</si>
  <si>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</si>
  <si>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</si>
  <si>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</si>
  <si>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</si>
  <si>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</si>
  <si>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</si>
  <si>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</si>
  <si>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</si>
  <si>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</si>
  <si>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</si>
  <si>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</si>
  <si>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</si>
  <si>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</si>
  <si>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</si>
  <si>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</si>
  <si>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</si>
  <si>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</si>
  <si>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</si>
  <si>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</si>
  <si>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</si>
  <si>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</si>
  <si>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</si>
  <si>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</si>
  <si>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</si>
  <si>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</si>
  <si>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</si>
  <si>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</si>
  <si>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</si>
  <si>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</si>
  <si>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</si>
  <si>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</si>
  <si>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</si>
  <si>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</si>
  <si>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</si>
  <si>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</si>
  <si>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</si>
  <si>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</si>
  <si>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</si>
  <si>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</si>
  <si>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</si>
  <si>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</si>
  <si>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</si>
  <si>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</si>
  <si>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</si>
  <si>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</si>
  <si>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</si>
  <si>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</si>
  <si>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</si>
  <si>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</si>
  <si>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</si>
  <si>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</si>
  <si>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</si>
  <si>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</si>
  <si>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</si>
  <si>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</si>
  <si>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</si>
  <si>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</si>
  <si>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</si>
  <si>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</si>
  <si>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</si>
  <si>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</si>
  <si>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</si>
  <si>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</si>
  <si>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</si>
  <si>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</si>
  <si>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</si>
  <si>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</si>
  <si>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</si>
  <si>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</si>
  <si>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</si>
  <si>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</si>
  <si>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</si>
  <si>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</si>
  <si>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</si>
  <si>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</si>
  <si>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</si>
  <si>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</si>
  <si>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</si>
  <si>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</si>
  <si>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</si>
  <si>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</si>
  <si>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</si>
  <si>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</si>
  <si>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</si>
  <si>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</si>
  <si>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</si>
  <si>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</si>
  <si>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</si>
  <si>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</si>
  <si>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</si>
  <si>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</si>
  <si>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</si>
  <si>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</si>
  <si>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</si>
  <si>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</si>
  <si>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</si>
  <si>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</si>
  <si>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</si>
  <si>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</si>
  <si>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</si>
  <si>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</si>
  <si>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</si>
  <si>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</si>
  <si>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</si>
  <si>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</si>
  <si>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</si>
  <si>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</si>
  <si>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</si>
  <si>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</si>
  <si>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</si>
  <si>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</si>
  <si>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</si>
  <si>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</si>
  <si>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</si>
  <si>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</si>
  <si>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</si>
  <si>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O [1]</t>
  </si>
  <si>
    <t>O [2]</t>
  </si>
  <si>
    <t>Astrophysics Project</t>
  </si>
  <si>
    <t>PX3360</t>
  </si>
  <si>
    <t>PX3370</t>
  </si>
  <si>
    <t>Medical Physics Project</t>
  </si>
  <si>
    <t>[1]</t>
  </si>
  <si>
    <t>[2]</t>
  </si>
  <si>
    <t>[3]</t>
  </si>
  <si>
    <t>A different module code exists for students on Astrophyscs (PX3360) and Medical Physics (PX3370) programmes</t>
  </si>
  <si>
    <t>Parent</t>
  </si>
  <si>
    <t>PX4320</t>
  </si>
  <si>
    <t>[4]</t>
  </si>
  <si>
    <t>Astrophysics students take PX4320</t>
  </si>
  <si>
    <t>O [3]</t>
  </si>
  <si>
    <t>O [4]</t>
  </si>
  <si>
    <t>C [5]</t>
  </si>
  <si>
    <t>C [6]</t>
  </si>
  <si>
    <t>[5]</t>
  </si>
  <si>
    <t>[6]</t>
  </si>
  <si>
    <t>Physics with Astronomy students should select exactly one of PX2241 and PX2242</t>
  </si>
  <si>
    <t>PX2141 is strongly encouraged for students on placement degrees</t>
  </si>
  <si>
    <t>Physics students should select **AT MOST** one astrophysics module per semester</t>
  </si>
  <si>
    <t>Astrophysics students should select **AT LEAST** one astrophysics module per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</si>
</sst>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1" fontId="2" fillId="4" borderId="0" xfId="0" applyNumberFormat="1" applyFont="1" applyFill="1" applyAlignment="1">
      <alignment horizontal="center" vertical="center" readingOrder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 readingOrder="1"/>
    </xf>
    <xf numFmtId="164" fontId="2" fillId="4" borderId="0" xfId="0" applyNumberFormat="1" applyFont="1" applyFill="1" applyAlignment="1">
      <alignment horizontal="center" vertical="center" wrapText="1" readingOrder="1"/>
    </xf>
    <xf numFmtId="0" fontId="2" fillId="4" borderId="0" xfId="0" applyFont="1" applyFill="1" applyAlignment="1">
      <alignment vertical="center" wrapText="1"/>
    </xf>
  </cellXfs>
  <cellStyles count="1">
    <cellStyle name="Normal" xfId="0" builtinId="0"/>
  </cellStyles>
  <dxfs count="114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solid">
          <fgColor indexed="64"/>
          <bgColor theme="0" tint="-0.249977111117893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solid">
          <fgColor indexed="64"/>
          <bgColor theme="0" tint="-0.249977111117893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</dxf>
    <dxf>
      <numFmt numFmtId="0" formatCode="General"/>
      <fill>
        <patternFill patternType="solid">
          <fgColor indexed="64"/>
          <bgColor theme="0" tint="-0.249977111117893"/>
        </patternFill>
      </fill>
    </dxf>
    <dxf>
      <numFmt numFmtId="0" formatCode="General"/>
      <fill>
        <patternFill patternType="solid">
          <fgColor indexed="64"/>
          <bgColor theme="0" tint="-0.249977111117893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94" dataDxfId="92" headerRowBorderDxfId="93" tableBorderDxfId="91" totalsRowBorderDxfId="90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18"/>
    <tableColumn id="2" xr3:uid="{D2290F36-B8B3-427A-AEFE-45FD22901411}" name="Module Title" dataDxfId="17">
      <calculatedColumnFormula>_xlfn.XLOOKUP(Table1[[#This Row],[Module Code]],Table2[Module Code],Table2[Module Title])</calculatedColumnFormula>
    </tableColumn>
    <tableColumn id="33" xr3:uid="{B83E0E3E-2B28-42F1-BC64-5D7177EC4229}" name="CA Weight" dataDxfId="27"/>
    <tableColumn id="34" xr3:uid="{AEA2048C-138D-450A-BE52-3FCBDE03C67D}" name="Credits" dataDxfId="25"/>
    <tableColumn id="3" xr3:uid="{31165455-2AA3-4532-A0A0-C942837C0F79}" name="CA type" dataDxfId="13"/>
    <tableColumn id="30" xr3:uid="{82DD5B5B-C808-4E6E-849C-7A03DC6D0B69}" name="Description" dataDxfId="26"/>
    <tableColumn id="36" xr3:uid="{A7BF30F6-C808-4B8F-B3FF-9FAF20E2145A}" name="Summative" dataDxfId="89"/>
    <tableColumn id="37" xr3:uid="{68E504F9-116C-43AB-BCC6-3BB48B0860D2}" name="Day of Week" dataDxfId="88"/>
    <tableColumn id="16" xr3:uid="{E6637FEB-7F23-45F0-99D2-96D20DD2DAEF}" name="Duration" dataDxfId="24"/>
    <tableColumn id="31" xr3:uid="{FD1E9614-3960-4F72-BD42-711A4CC7BBA0}" name="Nominal Hours" dataDxfId="2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23"/>
    <tableColumn id="4" xr3:uid="{04E38F13-8347-412C-866C-6EFE6796253C}" name="Autumn Week 1" dataDxfId="87"/>
    <tableColumn id="5" xr3:uid="{254D6A24-FC1B-44C7-A3DF-52DA2A250D31}" name="Autumn Week 2" dataDxfId="86"/>
    <tableColumn id="6" xr3:uid="{9EB326C3-772E-4E56-89FB-BA3A00291293}" name="Autumn Week 3" dataDxfId="85"/>
    <tableColumn id="7" xr3:uid="{94BC6C78-5A89-4267-B1C1-BFA70E5A9F34}" name="Autumn Week 4" dataDxfId="84"/>
    <tableColumn id="8" xr3:uid="{CF3B6389-B559-4FE3-8B33-FEDB303382B1}" name="Autumn Week 5" dataDxfId="83"/>
    <tableColumn id="9" xr3:uid="{8DD80B9C-D1B1-4CDE-A624-4CD3A15113DD}" name="Autumn Week 6" dataDxfId="82"/>
    <tableColumn id="10" xr3:uid="{8C4EBEE4-01CB-4AD0-B594-F466CC36D370}" name="Autumn Week 7" dataDxfId="81"/>
    <tableColumn id="11" xr3:uid="{7F8C91DE-BE61-47CF-A916-D06ED7B283E9}" name="Autumn Week 8" dataDxfId="80"/>
    <tableColumn id="12" xr3:uid="{9D58139A-0F96-4203-8D22-58BC34744B87}" name="Autumn Week 9" dataDxfId="79"/>
    <tableColumn id="13" xr3:uid="{43C545DF-9B9E-4080-8012-F9EFA0F01283}" name="Autumn Week 10" dataDxfId="78"/>
    <tableColumn id="14" xr3:uid="{829AB976-2AB2-435C-8F11-DE08DACA4407}" name="Autumn Week 11" dataDxfId="77"/>
    <tableColumn id="15" xr3:uid="{9126A0EA-FC34-4876-9D56-A0AC39C5526C}" name="Autumn Week 12" dataDxfId="76"/>
    <tableColumn id="17" xr3:uid="{15B891EE-FCC8-4E53-A90D-3E10FFC1E9FA}" name="Spring Week 1" dataDxfId="75"/>
    <tableColumn id="18" xr3:uid="{464CA212-3B53-4678-AFE4-8AF8308C1986}" name="Spring Week 2" dataDxfId="74"/>
    <tableColumn id="19" xr3:uid="{B560E823-CC29-418C-B26C-52D9FFC8C72E}" name="Spring Week 3" dataDxfId="73"/>
    <tableColumn id="20" xr3:uid="{D95606F3-E0A0-4907-91E0-4AD09D0C65CB}" name="Spring Week 4" dataDxfId="72"/>
    <tableColumn id="21" xr3:uid="{E71FF892-9A4B-444C-8972-62D92F81B0E7}" name="Spring Week 5" dataDxfId="71"/>
    <tableColumn id="22" xr3:uid="{C7775BA8-178A-4501-A8DE-2B2CF77A2451}" name="Spring Week 6" dataDxfId="70"/>
    <tableColumn id="23" xr3:uid="{51A89A97-F839-4F50-88A9-65049D65C9B0}" name="Spring Week 7" dataDxfId="69"/>
    <tableColumn id="24" xr3:uid="{26EE6D10-4FC4-49AE-8DE6-18AC556C293D}" name="Spring Week 8" dataDxfId="68"/>
    <tableColumn id="25" xr3:uid="{FCB1B9FB-21DA-415A-86E6-C8E14F864E1B}" name="Spring Week 9" dataDxfId="67"/>
    <tableColumn id="26" xr3:uid="{54402AE1-DC77-41BA-BCC7-28BCA7186B44}" name="Spring Week 10" dataDxfId="66"/>
    <tableColumn id="27" xr3:uid="{31C092D1-BD77-4126-8E72-8E74D0D11509}" name="Spring Week 11" dataDxfId="65"/>
    <tableColumn id="28" xr3:uid="{56D67770-E36A-46FE-97FA-76CD24229C51}" name="Spring Week 12" dataDxfId="64"/>
    <tableColumn id="38" xr3:uid="{29E08DCE-0D92-40C5-8F33-F1B96FB2F7A4}" name="Spring Exams" dataDxfId="21"/>
    <tableColumn id="29" xr3:uid="{785AD842-5ED0-4E27-B4B7-26E6FF9AC266}" name="Sub-total" dataDxfId="20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19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3" dataDxfId="61" headerRowBorderDxfId="62" tableBorderDxfId="60" totalsRowBorderDxfId="5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16"/>
    <tableColumn id="2" xr3:uid="{DE2920B2-70AC-48F3-99E7-07B70BC1E928}" name="Module Title" dataDxfId="15">
      <calculatedColumnFormula>_xlfn.XLOOKUP(Table14[[#This Row],[Module Code]],Table2[Module Code],Table2[Module Title])</calculatedColumnFormula>
    </tableColumn>
    <tableColumn id="34" xr3:uid="{55A68E2B-9324-4E9E-9629-6611EC7C904E}" name="Credits" dataDxfId="33">
      <calculatedColumnFormula>INDEX(Table2[Credits],MATCH(Table14[[#This Row],[Module Code]],Table2[Module Code],0))</calculatedColumnFormula>
    </tableColumn>
    <tableColumn id="30" xr3:uid="{9C4C2C35-CE5A-4469-93FA-21FC6F57EDAD}" name="Semester" dataDxfId="32">
      <calculatedColumnFormula>INDEX(Table2[Semester],MATCH(Table14[[#This Row],[Module Code]],Table2[Module Code],0))</calculatedColumnFormula>
    </tableColumn>
    <tableColumn id="31" xr3:uid="{A7B09E14-0C35-459D-A9D0-5143D8AFFE4E}" name="Nominal Hours" dataDxfId="30">
      <calculatedColumnFormula>INDEX(Table2[Contact Time],MATCH(Table14[[#This Row],[Module Code]],Table2[Module Code],0))</calculatedColumnFormula>
    </tableColumn>
    <tableColumn id="3" xr3:uid="{61946E7A-4C82-425B-89A6-3DBD530FCD55}" name="Contact type" dataDxfId="14"/>
    <tableColumn id="4" xr3:uid="{503822B3-8862-4FCD-9DD3-3B52F57A97BE}" name="Autumn Week 1" dataDxfId="31"/>
    <tableColumn id="5" xr3:uid="{760391D0-3219-4B11-8E3D-3E00EEDFA9DD}" name="Autumn Week 2" dataDxfId="58"/>
    <tableColumn id="6" xr3:uid="{6EE5E3E9-C4FB-49BE-932C-B84EA0A7970D}" name="Autumn Week 3" dataDxfId="57"/>
    <tableColumn id="7" xr3:uid="{2C7AD515-480E-49A6-8076-95205ACF95EC}" name="Autumn Week 4" dataDxfId="56"/>
    <tableColumn id="8" xr3:uid="{6FD8C5C6-433E-493B-BB28-5ADD15CFC7FB}" name="Autumn Week 5" dataDxfId="55"/>
    <tableColumn id="9" xr3:uid="{801E6BE2-75F8-40A5-A263-0AAEFDAA63E7}" name="Autumn Week 6" dataDxfId="54"/>
    <tableColumn id="10" xr3:uid="{976D463A-C6BC-4636-B732-53E6CDF3F6C7}" name="Autumn Week 7" dataDxfId="53"/>
    <tableColumn id="11" xr3:uid="{D025F987-6302-4D7B-9A9A-636F867D1872}" name="Autumn Week 8" dataDxfId="52"/>
    <tableColumn id="12" xr3:uid="{D30D10EE-2DE5-4659-AA67-2134D11D6119}" name="Autumn Week 9" dataDxfId="51"/>
    <tableColumn id="13" xr3:uid="{35E8F713-2D13-47B7-9811-293DA89F0D62}" name="Autumn Week 10" dataDxfId="50"/>
    <tableColumn id="14" xr3:uid="{5DD48606-F817-4B30-8BA1-A96457CBB489}" name="Autumn Week 11" dataDxfId="49"/>
    <tableColumn id="15" xr3:uid="{9B982ED1-A4C5-4E87-99AB-70713F2B634E}" name="Autumn Week 12" dataDxfId="48"/>
    <tableColumn id="17" xr3:uid="{3AFDFF11-D351-428A-AC16-E674EB9DD7CC}" name="Spring Week 1" dataDxfId="47"/>
    <tableColumn id="18" xr3:uid="{1431E9F9-328E-4229-9377-39D94C660D67}" name="Spring Week 2" dataDxfId="46"/>
    <tableColumn id="19" xr3:uid="{8E1051DB-2A93-4ABA-8317-8F9921CF483D}" name="Spring Week 3" dataDxfId="45"/>
    <tableColumn id="20" xr3:uid="{98B745E4-C481-42FF-9D3B-0D0899BD3DB6}" name="Spring Week 4" dataDxfId="44"/>
    <tableColumn id="21" xr3:uid="{2FC9B562-4622-444D-9372-5637BFE48E0A}" name="Spring Week 5" dataDxfId="43"/>
    <tableColumn id="22" xr3:uid="{95778D77-82F1-4B00-8FED-6FEB2BF83C3D}" name="Spring Week 6" dataDxfId="42"/>
    <tableColumn id="23" xr3:uid="{9A49A64C-9A09-47A0-BC65-A8C1C98DACA3}" name="Spring Week 7" dataDxfId="41"/>
    <tableColumn id="24" xr3:uid="{191AACBA-3CF0-48E5-B522-FCD2CCE9AC99}" name="Spring Week 8" dataDxfId="40"/>
    <tableColumn id="25" xr3:uid="{DC35B6C1-904B-4E6A-A04F-ADF850A50D85}" name="Spring Week 9" dataDxfId="39"/>
    <tableColumn id="26" xr3:uid="{BEB9E86A-57BF-4A1E-A499-BADB9EAD1DE9}" name="Spring Week 10" dataDxfId="38"/>
    <tableColumn id="27" xr3:uid="{D640FB81-F093-4E3F-B7A1-6995DDDD6305}" name="Spring Week 11" dataDxfId="37"/>
    <tableColumn id="28" xr3:uid="{496FDC17-F0F2-4381-96DA-177DC578A786}" name="Spring Week 12" dataDxfId="29"/>
    <tableColumn id="32" xr3:uid="{65BCC67A-5DC9-4957-BB42-BCF5FCA71B17}" name="Total" dataDxfId="2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113" dataDxfId="111" headerRowBorderDxfId="112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110"/>
    <tableColumn id="2" xr3:uid="{D3F20037-EF35-4207-A530-484E1EB45719}" name="Module Title" dataDxfId="109"/>
    <tableColumn id="9" xr3:uid="{40C22022-10B9-411F-9B76-B89140ABFFB2}" name="Alternative Module Code" dataDxfId="108"/>
    <tableColumn id="13" xr3:uid="{CB12E405-1802-457C-AF17-F1B9CB3BBF13}" name="Source" dataDxfId="107"/>
    <tableColumn id="8" xr3:uid="{EA737976-1AA7-49B6-8752-A388621554F4}" name="Semester" dataDxfId="106"/>
    <tableColumn id="6" xr3:uid="{16DFC84F-5858-467D-B447-49992D721E4B}" name="Level" dataDxfId="105"/>
    <tableColumn id="5" xr3:uid="{A17BC4BA-A3CB-442D-9BDC-D3B41B98B389}" name="Credits" dataDxfId="104"/>
    <tableColumn id="24" xr3:uid="{597B34DA-41F4-4D1D-AA24-07FF8D78D4D2}" name="Parent" dataDxfId="103"/>
    <tableColumn id="19" xr3:uid="{98846C13-E462-4CFF-858E-AF75931B6712}" name="AllUG" dataDxfId="102"/>
    <tableColumn id="3" xr3:uid="{7E25B4F4-1A7D-48D9-AAA2-AF5C97240797}" name="Physics" dataDxfId="101"/>
    <tableColumn id="17" xr3:uid="{AA3AE96F-2651-49D7-89AD-BA94806438AE}" name="PhysAstro"/>
    <tableColumn id="4" xr3:uid="{9C7DD469-E550-411F-8467-246A1543FB38}" name="Astro" dataDxfId="100"/>
    <tableColumn id="7" xr3:uid="{3C5D3AEB-487E-4678-A42F-BE4BA4D0E9AA}" name="MedPhys" dataDxfId="99"/>
    <tableColumn id="20" xr3:uid="{C3673B06-C0A2-44F6-8978-F392282CECF8}" name="AllPG"/>
    <tableColumn id="14" xr3:uid="{AE552873-9B31-41A6-B73C-D052477CA74C}" name="MScPhysics" dataDxfId="98"/>
    <tableColumn id="15" xr3:uid="{8F51CE76-3A29-487A-A13C-FB63C79CF3E6}" name="MScAstro" dataDxfId="97"/>
    <tableColumn id="21" xr3:uid="{FC74E264-78AB-4682-A1B8-D8964ED1C3F3}" name="MScDataPhys" dataDxfId="96"/>
    <tableColumn id="22" xr3:uid="{2D5776F7-D7F7-4D20-A7CB-DB57997AD074}" name="MScDataAstro" dataDxfId="95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36"/>
    <tableColumn id="12" xr3:uid="{537B7C75-E9C0-42F2-9F3C-6E960AB2D257}" name="CA weight" dataDxfId="35">
      <calculatedColumnFormula>100-Table2[[#This Row],[Exam Weight (%)]]</calculatedColumnFormula>
    </tableColumn>
    <tableColumn id="11" xr3:uid="{75DA2527-5A08-4ECE-B4E4-752A8F8BF059}" name="CA Check" dataDxfId="34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6" sqref="E6"/>
    </sheetView>
  </sheetViews>
  <sheetFormatPr defaultRowHeight="14.25"/>
  <cols>
    <col min="1" max="1" width="14.796875" style="5" bestFit="1" customWidth="1"/>
    <col min="2" max="2" width="50.796875" style="5" bestFit="1" customWidth="1"/>
    <col min="4" max="5" width="10" style="10" customWidth="1"/>
    <col min="6" max="6" width="10" style="10" bestFit="1" customWidth="1"/>
    <col min="7" max="7" width="21.73046875" style="10" bestFit="1" customWidth="1"/>
    <col min="8" max="9" width="21.73046875" style="10" customWidth="1"/>
    <col min="10" max="10" width="10.73046875" style="10" bestFit="1" customWidth="1"/>
    <col min="11" max="12" width="10.73046875" style="10" customWidth="1"/>
    <col min="13" max="24" width="9.19921875" style="14" customWidth="1"/>
    <col min="25" max="37" width="9.19921875" style="16" customWidth="1"/>
  </cols>
  <sheetData>
    <row r="1" spans="1:38" s="39" customFormat="1" ht="28.5">
      <c r="A1" s="34" t="s">
        <v>0</v>
      </c>
      <c r="B1" s="34" t="s">
        <v>6</v>
      </c>
      <c r="C1" s="35" t="s">
        <v>191</v>
      </c>
      <c r="D1" s="35" t="s">
        <v>129</v>
      </c>
      <c r="E1" s="35" t="s">
        <v>3</v>
      </c>
      <c r="F1" s="35" t="s">
        <v>187</v>
      </c>
      <c r="G1" s="35" t="s">
        <v>213</v>
      </c>
      <c r="H1" s="35" t="s">
        <v>317</v>
      </c>
      <c r="I1" s="35" t="s">
        <v>66</v>
      </c>
      <c r="J1" s="35" t="s">
        <v>189</v>
      </c>
      <c r="K1" s="35" t="s">
        <v>188</v>
      </c>
      <c r="L1" s="36" t="s">
        <v>23</v>
      </c>
      <c r="M1" s="36" t="s">
        <v>24</v>
      </c>
      <c r="N1" s="36" t="s">
        <v>25</v>
      </c>
      <c r="O1" s="36" t="s">
        <v>26</v>
      </c>
      <c r="P1" s="36" t="s">
        <v>27</v>
      </c>
      <c r="Q1" s="36" t="s">
        <v>28</v>
      </c>
      <c r="R1" s="36" t="s">
        <v>29</v>
      </c>
      <c r="S1" s="36" t="s">
        <v>30</v>
      </c>
      <c r="T1" s="36" t="s">
        <v>31</v>
      </c>
      <c r="U1" s="36" t="s">
        <v>32</v>
      </c>
      <c r="V1" s="36" t="s">
        <v>33</v>
      </c>
      <c r="W1" s="36" t="s">
        <v>34</v>
      </c>
      <c r="X1" s="37" t="s">
        <v>152</v>
      </c>
      <c r="Y1" s="37" t="s">
        <v>153</v>
      </c>
      <c r="Z1" s="37" t="s">
        <v>154</v>
      </c>
      <c r="AA1" s="37" t="s">
        <v>155</v>
      </c>
      <c r="AB1" s="37" t="s">
        <v>156</v>
      </c>
      <c r="AC1" s="37" t="s">
        <v>157</v>
      </c>
      <c r="AD1" s="37" t="s">
        <v>158</v>
      </c>
      <c r="AE1" s="37" t="s">
        <v>159</v>
      </c>
      <c r="AF1" s="37" t="s">
        <v>160</v>
      </c>
      <c r="AG1" s="37" t="s">
        <v>161</v>
      </c>
      <c r="AH1" s="37" t="s">
        <v>162</v>
      </c>
      <c r="AI1" s="37" t="s">
        <v>163</v>
      </c>
      <c r="AJ1" s="37" t="s">
        <v>349</v>
      </c>
      <c r="AK1" s="38" t="s">
        <v>164</v>
      </c>
      <c r="AL1" s="38" t="s">
        <v>212</v>
      </c>
    </row>
    <row r="2" spans="1:38">
      <c r="A2" s="4" t="s">
        <v>51</v>
      </c>
      <c r="B2" s="48" t="str">
        <f>_xlfn.XLOOKUP(Table1[[#This Row],[Module Code]],Table2[Module Code],Table2[Module Title])</f>
        <v>Mathematical Methods for Physicists I</v>
      </c>
      <c r="C2" s="43">
        <f>INDEX(Table2[CA weight],MATCH(Table1[[#This Row],[Module Code]],Table2[Module Code],0))</f>
        <v>40</v>
      </c>
      <c r="D2" s="43">
        <f>INDEX(Table2[Credits],MATCH(Table1[[#This Row],[Module Code]],Table2[Module Code],0))</f>
        <v>20</v>
      </c>
      <c r="E2" s="11" t="s">
        <v>5</v>
      </c>
      <c r="F2" s="11" t="s">
        <v>246</v>
      </c>
      <c r="G2" s="11" t="s">
        <v>214</v>
      </c>
      <c r="H2" s="11" t="s">
        <v>331</v>
      </c>
      <c r="I2" s="11">
        <v>2</v>
      </c>
      <c r="J2" s="44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47">
        <f>SUMIF(Table1[[#This Row],[Autumn Week 1]:[Spring Week 12]],"&gt;0",Table1[[#This Row],[Autumn Week 1]:[Spring Week 12]])</f>
        <v>0.2</v>
      </c>
      <c r="AL2" s="4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51</v>
      </c>
      <c r="B3" s="48" t="str">
        <f>_xlfn.XLOOKUP(Table1[[#This Row],[Module Code]],Table2[Module Code],Table2[Module Title])</f>
        <v>Mathematical Methods for Physicists I</v>
      </c>
      <c r="C3" s="43">
        <f>INDEX(Table2[CA weight],MATCH(Table1[[#This Row],[Module Code]],Table2[Module Code],0))</f>
        <v>40</v>
      </c>
      <c r="D3" s="43">
        <f>INDEX(Table2[Credits],MATCH(Table1[[#This Row],[Module Code]],Table2[Module Code],0))</f>
        <v>20</v>
      </c>
      <c r="E3" s="11" t="s">
        <v>5</v>
      </c>
      <c r="F3" s="11" t="s">
        <v>330</v>
      </c>
      <c r="G3" s="11" t="s">
        <v>214</v>
      </c>
      <c r="H3" s="11" t="s">
        <v>285</v>
      </c>
      <c r="I3" s="11">
        <v>4</v>
      </c>
      <c r="J3" s="44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47">
        <f>SUMIF(Table1[[#This Row],[Autumn Week 1]:[Spring Week 12]],"&gt;0",Table1[[#This Row],[Autumn Week 1]:[Spring Week 12]])</f>
        <v>0.2</v>
      </c>
      <c r="AL3" s="4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237</v>
      </c>
      <c r="B4" s="48" t="str">
        <f>_xlfn.XLOOKUP(Table1[[#This Row],[Module Code]],Table2[Module Code],Table2[Module Title])</f>
        <v>Mechanics and Relativity</v>
      </c>
      <c r="C4" s="43">
        <f>INDEX(Table2[CA weight],MATCH(Table1[[#This Row],[Module Code]],Table2[Module Code],0))</f>
        <v>40</v>
      </c>
      <c r="D4" s="43">
        <f>INDEX(Table2[Credits],MATCH(Table1[[#This Row],[Module Code]],Table2[Module Code],0))</f>
        <v>20</v>
      </c>
      <c r="E4" s="11" t="s">
        <v>5</v>
      </c>
      <c r="F4" s="11" t="s">
        <v>195</v>
      </c>
      <c r="G4" s="11" t="s">
        <v>214</v>
      </c>
      <c r="H4" s="11" t="s">
        <v>331</v>
      </c>
      <c r="I4" s="11">
        <v>3</v>
      </c>
      <c r="J4" s="44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47">
        <f>SUMIF(Table1[[#This Row],[Autumn Week 1]:[Spring Week 12]],"&gt;0",Table1[[#This Row],[Autumn Week 1]:[Spring Week 12]])</f>
        <v>0.2</v>
      </c>
      <c r="AL4" s="4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237</v>
      </c>
      <c r="B5" s="48" t="str">
        <f>_xlfn.XLOOKUP(Table1[[#This Row],[Module Code]],Table2[Module Code],Table2[Module Title])</f>
        <v>Mechanics and Relativity</v>
      </c>
      <c r="C5" s="43">
        <f>INDEX(Table2[CA weight],MATCH(Table1[[#This Row],[Module Code]],Table2[Module Code],0))</f>
        <v>40</v>
      </c>
      <c r="D5" s="43">
        <f>INDEX(Table2[Credits],MATCH(Table1[[#This Row],[Module Code]],Table2[Module Code],0))</f>
        <v>20</v>
      </c>
      <c r="E5" s="11" t="s">
        <v>114</v>
      </c>
      <c r="F5" s="11" t="s">
        <v>239</v>
      </c>
      <c r="G5" s="11" t="s">
        <v>209</v>
      </c>
      <c r="H5" s="11" t="s">
        <v>285</v>
      </c>
      <c r="I5" s="11">
        <v>1</v>
      </c>
      <c r="J5" s="44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47">
        <f>SUMIF(Table1[[#This Row],[Autumn Week 1]:[Spring Week 12]],"&gt;0",Table1[[#This Row],[Autumn Week 1]:[Spring Week 12]])</f>
        <v>2.5000000000000001E-2</v>
      </c>
      <c r="AL5" s="47">
        <f>IF(Table1[[#This Row],[Hours]]&gt;0,Table1[[#This Row],[Hours]],Table1[[#This Row],[Nominal Hours]])*COUNTIF(Table1[[#This Row],[Autumn Week 1]:[Spring Week 12]],"&gt;0")</f>
        <v>0.5</v>
      </c>
    </row>
    <row r="6" spans="1:38" ht="54">
      <c r="A6" s="4" t="s">
        <v>237</v>
      </c>
      <c r="B6" s="48" t="str">
        <f>_xlfn.XLOOKUP(Table1[[#This Row],[Module Code]],Table2[Module Code],Table2[Module Title])</f>
        <v>Mechanics and Relativity</v>
      </c>
      <c r="C6" s="43">
        <f>INDEX(Table2[CA weight],MATCH(Table1[[#This Row],[Module Code]],Table2[Module Code],0))</f>
        <v>40</v>
      </c>
      <c r="D6" s="43">
        <f>INDEX(Table2[Credits],MATCH(Table1[[#This Row],[Module Code]],Table2[Module Code],0))</f>
        <v>20</v>
      </c>
      <c r="E6" s="11" t="s">
        <v>114</v>
      </c>
      <c r="F6" s="33" t="s">
        <v>266</v>
      </c>
      <c r="G6" s="11" t="s">
        <v>214</v>
      </c>
      <c r="H6" s="11" t="s">
        <v>285</v>
      </c>
      <c r="I6" s="11">
        <v>1</v>
      </c>
      <c r="J6" s="44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47">
        <f>SUMIF(Table1[[#This Row],[Autumn Week 1]:[Spring Week 12]],"&gt;0",Table1[[#This Row],[Autumn Week 1]:[Spring Week 12]])</f>
        <v>0.19999999999999998</v>
      </c>
      <c r="AL6" s="4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240</v>
      </c>
      <c r="B7" s="48" t="str">
        <f>_xlfn.XLOOKUP(Table1[[#This Row],[Module Code]],Table2[Module Code],Table2[Module Title])</f>
        <v>Introduction to Quantum Physics and Materials</v>
      </c>
      <c r="C7" s="43">
        <f>INDEX(Table2[CA weight],MATCH(Table1[[#This Row],[Module Code]],Table2[Module Code],0))</f>
        <v>50</v>
      </c>
      <c r="D7" s="43">
        <f>INDEX(Table2[Credits],MATCH(Table1[[#This Row],[Module Code]],Table2[Module Code],0))</f>
        <v>10</v>
      </c>
      <c r="E7" s="11" t="s">
        <v>5</v>
      </c>
      <c r="F7" s="11" t="s">
        <v>249</v>
      </c>
      <c r="G7" s="11" t="s">
        <v>214</v>
      </c>
      <c r="H7" s="11" t="s">
        <v>285</v>
      </c>
      <c r="I7" s="11">
        <v>2</v>
      </c>
      <c r="J7" s="44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47">
        <f>SUMIF(Table1[[#This Row],[Autumn Week 1]:[Spring Week 12]],"&gt;0",Table1[[#This Row],[Autumn Week 1]:[Spring Week 12]])</f>
        <v>0.2</v>
      </c>
      <c r="AL7" s="4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240</v>
      </c>
      <c r="B8" s="48" t="str">
        <f>_xlfn.XLOOKUP(Table1[[#This Row],[Module Code]],Table2[Module Code],Table2[Module Title])</f>
        <v>Introduction to Quantum Physics and Materials</v>
      </c>
      <c r="C8" s="43">
        <f>INDEX(Table2[CA weight],MATCH(Table1[[#This Row],[Module Code]],Table2[Module Code],0))</f>
        <v>50</v>
      </c>
      <c r="D8" s="43">
        <f>INDEX(Table2[Credits],MATCH(Table1[[#This Row],[Module Code]],Table2[Module Code],0))</f>
        <v>10</v>
      </c>
      <c r="E8" s="11" t="s">
        <v>110</v>
      </c>
      <c r="F8" s="11" t="s">
        <v>248</v>
      </c>
      <c r="G8" s="11" t="s">
        <v>214</v>
      </c>
      <c r="H8" s="11" t="s">
        <v>332</v>
      </c>
      <c r="I8" s="11">
        <v>2</v>
      </c>
      <c r="J8" s="44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47">
        <f>SUMIF(Table1[[#This Row],[Autumn Week 1]:[Spring Week 12]],"&gt;0",Table1[[#This Row],[Autumn Week 1]:[Spring Week 12]])</f>
        <v>0.3</v>
      </c>
      <c r="AL8" s="4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53</v>
      </c>
      <c r="B9" s="48" t="str">
        <f>_xlfn.XLOOKUP(Table1[[#This Row],[Module Code]],Table2[Module Code],Table2[Module Title])</f>
        <v>Experimental Physics </v>
      </c>
      <c r="C9" s="43">
        <f>INDEX(Table2[CA weight],MATCH(Table1[[#This Row],[Module Code]],Table2[Module Code],0))</f>
        <v>100</v>
      </c>
      <c r="D9" s="43">
        <f>INDEX(Table2[Credits],MATCH(Table1[[#This Row],[Module Code]],Table2[Module Code],0))</f>
        <v>20</v>
      </c>
      <c r="E9" s="11" t="s">
        <v>113</v>
      </c>
      <c r="F9" s="11" t="s">
        <v>326</v>
      </c>
      <c r="G9" s="11" t="s">
        <v>209</v>
      </c>
      <c r="H9" s="11" t="s">
        <v>334</v>
      </c>
      <c r="I9" s="11">
        <v>1</v>
      </c>
      <c r="J9" s="44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47">
        <f>SUMIF(Table1[[#This Row],[Autumn Week 1]:[Spring Week 12]],"&gt;0",Table1[[#This Row],[Autumn Week 1]:[Spring Week 12]])</f>
        <v>1.0000000000000002</v>
      </c>
      <c r="AL9" s="4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53</v>
      </c>
      <c r="B10" s="48" t="str">
        <f>_xlfn.XLOOKUP(Table1[[#This Row],[Module Code]],Table2[Module Code],Table2[Module Title])</f>
        <v>Experimental Physics </v>
      </c>
      <c r="C10" s="43">
        <f>INDEX(Table2[CA weight],MATCH(Table1[[#This Row],[Module Code]],Table2[Module Code],0))</f>
        <v>100</v>
      </c>
      <c r="D10" s="43">
        <f>INDEX(Table2[Credits],MATCH(Table1[[#This Row],[Module Code]],Table2[Module Code],0))</f>
        <v>20</v>
      </c>
      <c r="E10" s="11" t="s">
        <v>113</v>
      </c>
      <c r="F10" s="11" t="s">
        <v>328</v>
      </c>
      <c r="G10" s="11" t="s">
        <v>214</v>
      </c>
      <c r="H10" s="11" t="s">
        <v>334</v>
      </c>
      <c r="I10" s="11">
        <v>2</v>
      </c>
      <c r="J10" s="44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47">
        <f>SUMIF(Table1[[#This Row],[Autumn Week 1]:[Spring Week 12]],"&gt;0",Table1[[#This Row],[Autumn Week 1]:[Spring Week 12]])</f>
        <v>0.53999999999999992</v>
      </c>
      <c r="AL10" s="4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53</v>
      </c>
      <c r="B11" s="48" t="str">
        <f>_xlfn.XLOOKUP(Table1[[#This Row],[Module Code]],Table2[Module Code],Table2[Module Title])</f>
        <v>Experimental Physics </v>
      </c>
      <c r="C11" s="43">
        <f>INDEX(Table2[CA weight],MATCH(Table1[[#This Row],[Module Code]],Table2[Module Code],0))</f>
        <v>100</v>
      </c>
      <c r="D11" s="43">
        <f>INDEX(Table2[Credits],MATCH(Table1[[#This Row],[Module Code]],Table2[Module Code],0))</f>
        <v>20</v>
      </c>
      <c r="E11" s="11" t="s">
        <v>113</v>
      </c>
      <c r="F11" s="11" t="s">
        <v>333</v>
      </c>
      <c r="G11" s="11" t="s">
        <v>214</v>
      </c>
      <c r="H11" s="11" t="s">
        <v>334</v>
      </c>
      <c r="I11" s="11">
        <v>1</v>
      </c>
      <c r="J11" s="44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47">
        <f>SUMIF(Table1[[#This Row],[Autumn Week 1]:[Spring Week 12]],"&gt;0",Table1[[#This Row],[Autumn Week 1]:[Spring Week 12]])</f>
        <v>0.09</v>
      </c>
      <c r="AL11" s="4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53</v>
      </c>
      <c r="B12" s="48" t="str">
        <f>_xlfn.XLOOKUP(Table1[[#This Row],[Module Code]],Table2[Module Code],Table2[Module Title])</f>
        <v>Experimental Physics </v>
      </c>
      <c r="C12" s="43">
        <f>INDEX(Table2[CA weight],MATCH(Table1[[#This Row],[Module Code]],Table2[Module Code],0))</f>
        <v>100</v>
      </c>
      <c r="D12" s="43">
        <f>INDEX(Table2[Credits],MATCH(Table1[[#This Row],[Module Code]],Table2[Module Code],0))</f>
        <v>20</v>
      </c>
      <c r="E12" s="11" t="s">
        <v>5</v>
      </c>
      <c r="F12" s="11" t="s">
        <v>194</v>
      </c>
      <c r="G12" s="11" t="s">
        <v>214</v>
      </c>
      <c r="H12" s="11" t="s">
        <v>285</v>
      </c>
      <c r="I12" s="11">
        <v>3</v>
      </c>
      <c r="J12" s="44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47">
        <f>SUMIF(Table1[[#This Row],[Autumn Week 1]:[Spring Week 12]],"&gt;0",Table1[[#This Row],[Autumn Week 1]:[Spring Week 12]])</f>
        <v>0.37</v>
      </c>
      <c r="AL12" s="47">
        <f>IF(Table1[[#This Row],[Hours]]&gt;0,Table1[[#This Row],[Hours]],Table1[[#This Row],[Nominal Hours]])*COUNTIF(Table1[[#This Row],[Autumn Week 1]:[Spring Week 12]],"&gt;0")</f>
        <v>29.6</v>
      </c>
    </row>
    <row r="13" spans="1:38" ht="54">
      <c r="A13" s="3" t="s">
        <v>72</v>
      </c>
      <c r="B13" s="48" t="str">
        <f>_xlfn.XLOOKUP(Table1[[#This Row],[Module Code]],Table2[Module Code],Table2[Module Title])</f>
        <v>Electricity, Magnetism and Waves</v>
      </c>
      <c r="C13" s="43">
        <f>INDEX(Table2[CA weight],MATCH(Table1[[#This Row],[Module Code]],Table2[Module Code],0))</f>
        <v>30</v>
      </c>
      <c r="D13" s="43">
        <f>INDEX(Table2[Credits],MATCH(Table1[[#This Row],[Module Code]],Table2[Module Code],0))</f>
        <v>20</v>
      </c>
      <c r="E13" s="12" t="s">
        <v>5</v>
      </c>
      <c r="F13" s="40" t="s">
        <v>278</v>
      </c>
      <c r="G13" s="11" t="s">
        <v>214</v>
      </c>
      <c r="H13" s="11" t="s">
        <v>285</v>
      </c>
      <c r="I13" s="11">
        <v>1</v>
      </c>
      <c r="J13" s="44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47">
        <f>SUMIF(Table1[[#This Row],[Autumn Week 1]:[Spring Week 12]],"&gt;0",Table1[[#This Row],[Autumn Week 1]:[Spring Week 12]])</f>
        <v>0.30000000000000004</v>
      </c>
      <c r="AL13" s="4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176</v>
      </c>
      <c r="B14" s="48" t="str">
        <f>_xlfn.XLOOKUP(Table1[[#This Row],[Module Code]],Table2[Module Code],Table2[Module Title])</f>
        <v>Computational Skills for Problem Solving</v>
      </c>
      <c r="C14" s="43">
        <f>INDEX(Table2[CA weight],MATCH(Table1[[#This Row],[Module Code]],Table2[Module Code],0))</f>
        <v>100</v>
      </c>
      <c r="D14" s="43">
        <f>INDEX(Table2[Credits],MATCH(Table1[[#This Row],[Module Code]],Table2[Module Code],0))</f>
        <v>10</v>
      </c>
      <c r="E14" s="11" t="s">
        <v>113</v>
      </c>
      <c r="F14" s="11" t="s">
        <v>196</v>
      </c>
      <c r="G14" s="11" t="s">
        <v>214</v>
      </c>
      <c r="H14" s="11" t="s">
        <v>348</v>
      </c>
      <c r="I14" s="11">
        <v>1</v>
      </c>
      <c r="J14" s="44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47">
        <f>SUMIF(Table1[[#This Row],[Autumn Week 1]:[Spring Week 12]],"&gt;0",Table1[[#This Row],[Autumn Week 1]:[Spring Week 12]])</f>
        <v>0.49999999999999994</v>
      </c>
      <c r="AL14" s="4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176</v>
      </c>
      <c r="B15" s="48" t="str">
        <f>_xlfn.XLOOKUP(Table1[[#This Row],[Module Code]],Table2[Module Code],Table2[Module Title])</f>
        <v>Computational Skills for Problem Solving</v>
      </c>
      <c r="C15" s="43">
        <f>INDEX(Table2[CA weight],MATCH(Table1[[#This Row],[Module Code]],Table2[Module Code],0))</f>
        <v>100</v>
      </c>
      <c r="D15" s="43">
        <f>INDEX(Table2[Credits],MATCH(Table1[[#This Row],[Module Code]],Table2[Module Code],0))</f>
        <v>10</v>
      </c>
      <c r="E15" s="12" t="s">
        <v>5</v>
      </c>
      <c r="F15" s="11" t="s">
        <v>335</v>
      </c>
      <c r="G15" s="11" t="s">
        <v>214</v>
      </c>
      <c r="H15" s="11" t="s">
        <v>291</v>
      </c>
      <c r="I15" s="11">
        <v>3</v>
      </c>
      <c r="J15" s="44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47">
        <f>SUMIF(Table1[[#This Row],[Autumn Week 1]:[Spring Week 12]],"&gt;0",Table1[[#This Row],[Autumn Week 1]:[Spring Week 12]])</f>
        <v>0.2</v>
      </c>
      <c r="AL15" s="4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176</v>
      </c>
      <c r="B16" s="48" t="str">
        <f>_xlfn.XLOOKUP(Table1[[#This Row],[Module Code]],Table2[Module Code],Table2[Module Title])</f>
        <v>Computational Skills for Problem Solving</v>
      </c>
      <c r="C16" s="43">
        <f>INDEX(Table2[CA weight],MATCH(Table1[[#This Row],[Module Code]],Table2[Module Code],0))</f>
        <v>100</v>
      </c>
      <c r="D16" s="43">
        <f>INDEX(Table2[Credits],MATCH(Table1[[#This Row],[Module Code]],Table2[Module Code],0))</f>
        <v>10</v>
      </c>
      <c r="E16" s="12" t="s">
        <v>5</v>
      </c>
      <c r="F16" s="12" t="s">
        <v>336</v>
      </c>
      <c r="G16" s="11" t="s">
        <v>214</v>
      </c>
      <c r="H16" s="11" t="s">
        <v>339</v>
      </c>
      <c r="I16" s="11">
        <v>2</v>
      </c>
      <c r="J16" s="44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47">
        <f>SUMIF(Table1[[#This Row],[Autumn Week 1]:[Spring Week 12]],"&gt;0",Table1[[#This Row],[Autumn Week 1]:[Spring Week 12]])</f>
        <v>0.3</v>
      </c>
      <c r="AL16" s="4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74</v>
      </c>
      <c r="B17" s="48" t="str">
        <f>_xlfn.XLOOKUP(Table1[[#This Row],[Module Code]],Table2[Module Code],Table2[Module Title])</f>
        <v>Introduction to Astrophysics</v>
      </c>
      <c r="C17" s="43">
        <f>INDEX(Table2[CA weight],MATCH(Table1[[#This Row],[Module Code]],Table2[Module Code],0))</f>
        <v>30</v>
      </c>
      <c r="D17" s="43">
        <f>INDEX(Table2[Credits],MATCH(Table1[[#This Row],[Module Code]],Table2[Module Code],0))</f>
        <v>10</v>
      </c>
      <c r="E17" s="11" t="s">
        <v>114</v>
      </c>
      <c r="F17" s="11" t="s">
        <v>246</v>
      </c>
      <c r="G17" s="11" t="s">
        <v>214</v>
      </c>
      <c r="H17" s="11" t="s">
        <v>291</v>
      </c>
      <c r="I17" s="11">
        <v>1</v>
      </c>
      <c r="J17" s="44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47">
        <f>SUMIF(Table1[[#This Row],[Autumn Week 1]:[Spring Week 12]],"&gt;0",Table1[[#This Row],[Autumn Week 1]:[Spring Week 12]])</f>
        <v>0.1</v>
      </c>
      <c r="AL17" s="4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74</v>
      </c>
      <c r="B18" s="48" t="str">
        <f>_xlfn.XLOOKUP(Table1[[#This Row],[Module Code]],Table2[Module Code],Table2[Module Title])</f>
        <v>Introduction to Astrophysics</v>
      </c>
      <c r="C18" s="43">
        <f>INDEX(Table2[CA weight],MATCH(Table1[[#This Row],[Module Code]],Table2[Module Code],0))</f>
        <v>30</v>
      </c>
      <c r="D18" s="43">
        <f>INDEX(Table2[Credits],MATCH(Table1[[#This Row],[Module Code]],Table2[Module Code],0))</f>
        <v>10</v>
      </c>
      <c r="E18" s="12" t="s">
        <v>5</v>
      </c>
      <c r="F18" s="12" t="s">
        <v>195</v>
      </c>
      <c r="G18" s="11" t="s">
        <v>214</v>
      </c>
      <c r="H18" s="11" t="s">
        <v>339</v>
      </c>
      <c r="I18" s="11">
        <v>4</v>
      </c>
      <c r="J18" s="44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47">
        <f>SUMIF(Table1[[#This Row],[Autumn Week 1]:[Spring Week 12]],"&gt;0",Table1[[#This Row],[Autumn Week 1]:[Spring Week 12]])</f>
        <v>0.1</v>
      </c>
      <c r="AL18" s="4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74</v>
      </c>
      <c r="B19" s="48" t="str">
        <f>_xlfn.XLOOKUP(Table1[[#This Row],[Module Code]],Table2[Module Code],Table2[Module Title])</f>
        <v>Introduction to Astrophysics</v>
      </c>
      <c r="C19" s="43">
        <f>INDEX(Table2[CA weight],MATCH(Table1[[#This Row],[Module Code]],Table2[Module Code],0))</f>
        <v>30</v>
      </c>
      <c r="D19" s="43">
        <f>INDEX(Table2[Credits],MATCH(Table1[[#This Row],[Module Code]],Table2[Module Code],0))</f>
        <v>10</v>
      </c>
      <c r="E19" s="12" t="s">
        <v>5</v>
      </c>
      <c r="F19" s="12" t="s">
        <v>337</v>
      </c>
      <c r="G19" s="11" t="s">
        <v>214</v>
      </c>
      <c r="H19" s="11" t="s">
        <v>339</v>
      </c>
      <c r="I19" s="11">
        <v>4</v>
      </c>
      <c r="J19" s="44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47">
        <f>SUMIF(Table1[[#This Row],[Autumn Week 1]:[Spring Week 12]],"&gt;0",Table1[[#This Row],[Autumn Week 1]:[Spring Week 12]])</f>
        <v>0.1</v>
      </c>
      <c r="AL19" s="4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75</v>
      </c>
      <c r="B20" s="48" t="str">
        <f>_xlfn.XLOOKUP(Table1[[#This Row],[Module Code]],Table2[Module Code],Table2[Module Title])</f>
        <v>Mathematical Methods for Physicists II</v>
      </c>
      <c r="C20" s="43">
        <f>INDEX(Table2[CA weight],MATCH(Table1[[#This Row],[Module Code]],Table2[Module Code],0))</f>
        <v>40</v>
      </c>
      <c r="D20" s="43">
        <f>INDEX(Table2[Credits],MATCH(Table1[[#This Row],[Module Code]],Table2[Module Code],0))</f>
        <v>10</v>
      </c>
      <c r="E20" s="12" t="s">
        <v>5</v>
      </c>
      <c r="F20" s="12" t="s">
        <v>195</v>
      </c>
      <c r="G20" s="11" t="s">
        <v>214</v>
      </c>
      <c r="H20" s="11" t="s">
        <v>285</v>
      </c>
      <c r="I20" s="11">
        <v>2</v>
      </c>
      <c r="J20" s="44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47">
        <f>SUMIF(Table1[[#This Row],[Autumn Week 1]:[Spring Week 12]],"&gt;0",Table1[[#This Row],[Autumn Week 1]:[Spring Week 12]])</f>
        <v>0.4</v>
      </c>
      <c r="AL20" s="4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73</v>
      </c>
      <c r="B21" s="48" t="str">
        <f>_xlfn.XLOOKUP(Table1[[#This Row],[Module Code]],Table2[Module Code],Table2[Module Title])</f>
        <v>Introduction to Medical Physics</v>
      </c>
      <c r="C21" s="43">
        <f>INDEX(Table2[CA weight],MATCH(Table1[[#This Row],[Module Code]],Table2[Module Code],0))</f>
        <v>20</v>
      </c>
      <c r="D21" s="43">
        <f>INDEX(Table2[Credits],MATCH(Table1[[#This Row],[Module Code]],Table2[Module Code],0))</f>
        <v>10</v>
      </c>
      <c r="E21" s="12" t="s">
        <v>110</v>
      </c>
      <c r="F21" s="12" t="s">
        <v>197</v>
      </c>
      <c r="G21" s="11" t="s">
        <v>214</v>
      </c>
      <c r="H21" s="11" t="s">
        <v>291</v>
      </c>
      <c r="I21" s="11">
        <v>6</v>
      </c>
      <c r="J21" s="44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47">
        <f>SUMIF(Table1[[#This Row],[Autumn Week 1]:[Spring Week 12]],"&gt;0",Table1[[#This Row],[Autumn Week 1]:[Spring Week 12]])</f>
        <v>0.05</v>
      </c>
      <c r="AL21" s="4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73</v>
      </c>
      <c r="B22" s="48" t="str">
        <f>_xlfn.XLOOKUP(Table1[[#This Row],[Module Code]],Table2[Module Code],Table2[Module Title])</f>
        <v>Introduction to Medical Physics</v>
      </c>
      <c r="C22" s="43">
        <f>INDEX(Table2[CA weight],MATCH(Table1[[#This Row],[Module Code]],Table2[Module Code],0))</f>
        <v>20</v>
      </c>
      <c r="D22" s="43">
        <f>INDEX(Table2[Credits],MATCH(Table1[[#This Row],[Module Code]],Table2[Module Code],0))</f>
        <v>10</v>
      </c>
      <c r="E22" s="12" t="s">
        <v>5</v>
      </c>
      <c r="F22" s="12" t="s">
        <v>194</v>
      </c>
      <c r="G22" s="11" t="s">
        <v>214</v>
      </c>
      <c r="H22" s="11" t="s">
        <v>285</v>
      </c>
      <c r="I22" s="11">
        <v>6</v>
      </c>
      <c r="J22" s="44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47">
        <f>SUMIF(Table1[[#This Row],[Autumn Week 1]:[Spring Week 12]],"&gt;0",Table1[[#This Row],[Autumn Week 1]:[Spring Week 12]])</f>
        <v>0.15</v>
      </c>
      <c r="AL22" s="47">
        <f>IF(Table1[[#This Row],[Hours]]&gt;0,Table1[[#This Row],[Hours]],Table1[[#This Row],[Nominal Hours]])*COUNTIF(Table1[[#This Row],[Autumn Week 1]:[Spring Week 12]],"&gt;0")</f>
        <v>6</v>
      </c>
    </row>
    <row r="23" spans="1:38" ht="67.5">
      <c r="A23" s="4" t="s">
        <v>35</v>
      </c>
      <c r="B23" s="48" t="str">
        <f>_xlfn.XLOOKUP(Table1[[#This Row],[Module Code]],Table2[Module Code],Table2[Module Title])</f>
        <v>The Physics of Fields and Flows </v>
      </c>
      <c r="C23" s="43">
        <f>INDEX(Table2[CA weight],MATCH(Table1[[#This Row],[Module Code]],Table2[Module Code],0))</f>
        <v>40</v>
      </c>
      <c r="D23" s="43">
        <f>INDEX(Table2[Credits],MATCH(Table1[[#This Row],[Module Code]],Table2[Module Code],0))</f>
        <v>20</v>
      </c>
      <c r="E23" s="11" t="s">
        <v>114</v>
      </c>
      <c r="F23" s="33" t="s">
        <v>367</v>
      </c>
      <c r="G23" s="11" t="s">
        <v>214</v>
      </c>
      <c r="H23" s="11" t="s">
        <v>339</v>
      </c>
      <c r="I23" s="11">
        <v>1</v>
      </c>
      <c r="J23" s="44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47">
        <f>SUMIF(Table1[[#This Row],[Autumn Week 1]:[Spring Week 12]],"&gt;0",Table1[[#This Row],[Autumn Week 1]:[Spring Week 12]])</f>
        <v>0</v>
      </c>
      <c r="AL23" s="4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35</v>
      </c>
      <c r="B24" s="48" t="str">
        <f>_xlfn.XLOOKUP(Table1[[#This Row],[Module Code]],Table2[Module Code],Table2[Module Title])</f>
        <v>The Physics of Fields and Flows </v>
      </c>
      <c r="C24" s="43">
        <f>INDEX(Table2[CA weight],MATCH(Table1[[#This Row],[Module Code]],Table2[Module Code],0))</f>
        <v>40</v>
      </c>
      <c r="D24" s="43">
        <f>INDEX(Table2[Credits],MATCH(Table1[[#This Row],[Module Code]],Table2[Module Code],0))</f>
        <v>20</v>
      </c>
      <c r="E24" s="11" t="s">
        <v>5</v>
      </c>
      <c r="F24" s="11" t="s">
        <v>365</v>
      </c>
      <c r="G24" s="11" t="s">
        <v>214</v>
      </c>
      <c r="H24" s="11" t="s">
        <v>285</v>
      </c>
      <c r="I24" s="11">
        <v>3</v>
      </c>
      <c r="J24" s="44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47">
        <f>SUMIF(Table1[[#This Row],[Autumn Week 1]:[Spring Week 12]],"&gt;0",Table1[[#This Row],[Autumn Week 1]:[Spring Week 12]])</f>
        <v>0</v>
      </c>
      <c r="AL24" s="4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35</v>
      </c>
      <c r="B25" s="48" t="str">
        <f>_xlfn.XLOOKUP(Table1[[#This Row],[Module Code]],Table2[Module Code],Table2[Module Title])</f>
        <v>The Physics of Fields and Flows </v>
      </c>
      <c r="C25" s="43">
        <f>INDEX(Table2[CA weight],MATCH(Table1[[#This Row],[Module Code]],Table2[Module Code],0))</f>
        <v>40</v>
      </c>
      <c r="D25" s="43">
        <f>INDEX(Table2[Credits],MATCH(Table1[[#This Row],[Module Code]],Table2[Module Code],0))</f>
        <v>20</v>
      </c>
      <c r="E25" s="11" t="s">
        <v>5</v>
      </c>
      <c r="F25" s="11" t="s">
        <v>195</v>
      </c>
      <c r="G25" s="11" t="s">
        <v>214</v>
      </c>
      <c r="H25" s="11" t="s">
        <v>285</v>
      </c>
      <c r="I25" s="11">
        <v>2</v>
      </c>
      <c r="J25" s="44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47">
        <f>SUMIF(Table1[[#This Row],[Autumn Week 1]:[Spring Week 12]],"&gt;0",Table1[[#This Row],[Autumn Week 1]:[Spring Week 12]])</f>
        <v>0.4</v>
      </c>
      <c r="AL25" s="4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243</v>
      </c>
      <c r="B26" s="48" t="str">
        <f>_xlfn.XLOOKUP(Table1[[#This Row],[Module Code]],Table2[Module Code],Table2[Module Title])</f>
        <v>Quantum Mechanics</v>
      </c>
      <c r="C26" s="43">
        <f>INDEX(Table2[CA weight],MATCH(Table1[[#This Row],[Module Code]],Table2[Module Code],0))</f>
        <v>40</v>
      </c>
      <c r="D26" s="43">
        <f>INDEX(Table2[Credits],MATCH(Table1[[#This Row],[Module Code]],Table2[Module Code],0))</f>
        <v>10</v>
      </c>
      <c r="E26" s="11" t="s">
        <v>5</v>
      </c>
      <c r="F26" s="11" t="s">
        <v>376</v>
      </c>
      <c r="G26" s="11" t="s">
        <v>214</v>
      </c>
      <c r="H26" s="11" t="s">
        <v>285</v>
      </c>
      <c r="I26" s="11">
        <v>1</v>
      </c>
      <c r="J26" s="44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47">
        <f>SUMIF(Table1[[#This Row],[Autumn Week 1]:[Spring Week 12]],"&gt;0",Table1[[#This Row],[Autumn Week 1]:[Spring Week 12]])</f>
        <v>0</v>
      </c>
      <c r="AL26" s="4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243</v>
      </c>
      <c r="B27" s="48" t="str">
        <f>_xlfn.XLOOKUP(Table1[[#This Row],[Module Code]],Table2[Module Code],Table2[Module Title])</f>
        <v>Quantum Mechanics</v>
      </c>
      <c r="C27" s="43">
        <f>INDEX(Table2[CA weight],MATCH(Table1[[#This Row],[Module Code]],Table2[Module Code],0))</f>
        <v>40</v>
      </c>
      <c r="D27" s="43">
        <f>INDEX(Table2[Credits],MATCH(Table1[[#This Row],[Module Code]],Table2[Module Code],0))</f>
        <v>10</v>
      </c>
      <c r="E27" s="11" t="s">
        <v>5</v>
      </c>
      <c r="F27" s="11" t="s">
        <v>195</v>
      </c>
      <c r="G27" s="11" t="s">
        <v>214</v>
      </c>
      <c r="H27" s="11" t="s">
        <v>291</v>
      </c>
      <c r="I27" s="11">
        <v>2</v>
      </c>
      <c r="J27" s="44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47">
        <f>SUMIF(Table1[[#This Row],[Autumn Week 1]:[Spring Week 12]],"&gt;0",Table1[[#This Row],[Autumn Week 1]:[Spring Week 12]])</f>
        <v>0.2</v>
      </c>
      <c r="AL27" s="4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243</v>
      </c>
      <c r="B28" s="48" t="str">
        <f>_xlfn.XLOOKUP(Table1[[#This Row],[Module Code]],Table2[Module Code],Table2[Module Title])</f>
        <v>Quantum Mechanics</v>
      </c>
      <c r="C28" s="43">
        <f>INDEX(Table2[CA weight],MATCH(Table1[[#This Row],[Module Code]],Table2[Module Code],0))</f>
        <v>40</v>
      </c>
      <c r="D28" s="43">
        <f>INDEX(Table2[Credits],MATCH(Table1[[#This Row],[Module Code]],Table2[Module Code],0))</f>
        <v>10</v>
      </c>
      <c r="E28" s="11" t="s">
        <v>110</v>
      </c>
      <c r="F28" s="11" t="s">
        <v>248</v>
      </c>
      <c r="G28" s="11" t="s">
        <v>214</v>
      </c>
      <c r="H28" s="11" t="s">
        <v>307</v>
      </c>
      <c r="I28" s="11">
        <v>3</v>
      </c>
      <c r="J28" s="44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47">
        <f>SUMIF(Table1[[#This Row],[Autumn Week 1]:[Spring Week 12]],"&gt;0",Table1[[#This Row],[Autumn Week 1]:[Spring Week 12]])</f>
        <v>0.2</v>
      </c>
      <c r="AL28" s="4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219</v>
      </c>
      <c r="B29" s="48" t="str">
        <f>_xlfn.XLOOKUP(Table1[[#This Row],[Module Code]],Table2[Module Code],Table2[Module Title])</f>
        <v>Scientific Programming</v>
      </c>
      <c r="C29" s="43">
        <f>INDEX(Table2[CA weight],MATCH(Table1[[#This Row],[Module Code]],Table2[Module Code],0))</f>
        <v>100</v>
      </c>
      <c r="D29" s="43">
        <f>INDEX(Table2[Credits],MATCH(Table1[[#This Row],[Module Code]],Table2[Module Code],0))</f>
        <v>10</v>
      </c>
      <c r="E29" s="11" t="s">
        <v>5</v>
      </c>
      <c r="F29" s="11" t="s">
        <v>338</v>
      </c>
      <c r="G29" s="11" t="s">
        <v>214</v>
      </c>
      <c r="H29" s="11" t="s">
        <v>291</v>
      </c>
      <c r="I29" s="11">
        <v>1</v>
      </c>
      <c r="J29" s="44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47">
        <f>SUMIF(Table1[[#This Row],[Autumn Week 1]:[Spring Week 12]],"&gt;0",Table1[[#This Row],[Autumn Week 1]:[Spring Week 12]])</f>
        <v>9.9999999999999992E-2</v>
      </c>
      <c r="AL29" s="4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219</v>
      </c>
      <c r="B30" s="48" t="str">
        <f>_xlfn.XLOOKUP(Table1[[#This Row],[Module Code]],Table2[Module Code],Table2[Module Title])</f>
        <v>Scientific Programming</v>
      </c>
      <c r="C30" s="43">
        <f>INDEX(Table2[CA weight],MATCH(Table1[[#This Row],[Module Code]],Table2[Module Code],0))</f>
        <v>100</v>
      </c>
      <c r="D30" s="43">
        <f>INDEX(Table2[Credits],MATCH(Table1[[#This Row],[Module Code]],Table2[Module Code],0))</f>
        <v>10</v>
      </c>
      <c r="E30" s="11" t="s">
        <v>5</v>
      </c>
      <c r="F30" s="11" t="s">
        <v>330</v>
      </c>
      <c r="G30" s="11" t="s">
        <v>214</v>
      </c>
      <c r="H30" s="11" t="s">
        <v>285</v>
      </c>
      <c r="I30" s="11">
        <v>3</v>
      </c>
      <c r="J30" s="44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47">
        <f>SUMIF(Table1[[#This Row],[Autumn Week 1]:[Spring Week 12]],"&gt;0",Table1[[#This Row],[Autumn Week 1]:[Spring Week 12]])</f>
        <v>0.4</v>
      </c>
      <c r="AL30" s="4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219</v>
      </c>
      <c r="B31" s="48" t="str">
        <f>_xlfn.XLOOKUP(Table1[[#This Row],[Module Code]],Table2[Module Code],Table2[Module Title])</f>
        <v>Scientific Programming</v>
      </c>
      <c r="C31" s="43">
        <f>INDEX(Table2[CA weight],MATCH(Table1[[#This Row],[Module Code]],Table2[Module Code],0))</f>
        <v>100</v>
      </c>
      <c r="D31" s="43">
        <f>INDEX(Table2[Credits],MATCH(Table1[[#This Row],[Module Code]],Table2[Module Code],0))</f>
        <v>10</v>
      </c>
      <c r="E31" s="11" t="s">
        <v>4</v>
      </c>
      <c r="F31" s="11" t="s">
        <v>252</v>
      </c>
      <c r="G31" s="11" t="s">
        <v>214</v>
      </c>
      <c r="H31" s="11" t="s">
        <v>295</v>
      </c>
      <c r="I31" s="11">
        <v>1</v>
      </c>
      <c r="J31" s="44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47">
        <f>SUMIF(Table1[[#This Row],[Autumn Week 1]:[Spring Week 12]],"&gt;0",Table1[[#This Row],[Autumn Week 1]:[Spring Week 12]])</f>
        <v>0.5</v>
      </c>
      <c r="AL31" s="4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37</v>
      </c>
      <c r="B32" s="48" t="str">
        <f>_xlfn.XLOOKUP(Table1[[#This Row],[Module Code]],Table2[Module Code],Table2[Module Title])</f>
        <v>The Stars and their Planets</v>
      </c>
      <c r="C32" s="43">
        <f>INDEX(Table2[CA weight],MATCH(Table1[[#This Row],[Module Code]],Table2[Module Code],0))</f>
        <v>40</v>
      </c>
      <c r="D32" s="43">
        <f>INDEX(Table2[Credits],MATCH(Table1[[#This Row],[Module Code]],Table2[Module Code],0))</f>
        <v>10</v>
      </c>
      <c r="E32" s="11" t="s">
        <v>5</v>
      </c>
      <c r="F32" s="11" t="s">
        <v>195</v>
      </c>
      <c r="G32" s="11" t="s">
        <v>214</v>
      </c>
      <c r="H32" s="11" t="s">
        <v>291</v>
      </c>
      <c r="I32" s="11">
        <v>3</v>
      </c>
      <c r="J32" s="44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47">
        <f>SUMIF(Table1[[#This Row],[Autumn Week 1]:[Spring Week 12]],"&gt;0",Table1[[#This Row],[Autumn Week 1]:[Spring Week 12]])</f>
        <v>0.4</v>
      </c>
      <c r="AL32" s="47">
        <f>IF(Table1[[#This Row],[Hours]]&gt;0,Table1[[#This Row],[Hours]],Table1[[#This Row],[Nominal Hours]])*COUNTIF(Table1[[#This Row],[Autumn Week 1]:[Spring Week 12]],"&gt;0")</f>
        <v>12</v>
      </c>
    </row>
    <row r="33" spans="1:38" ht="54">
      <c r="A33" s="4" t="s">
        <v>41</v>
      </c>
      <c r="B33" s="48" t="str">
        <f>_xlfn.XLOOKUP(Table1[[#This Row],[Module Code]],Table2[Module Code],Table2[Module Title])</f>
        <v>Pathways to success</v>
      </c>
      <c r="C33" s="43">
        <f>INDEX(Table2[CA weight],MATCH(Table1[[#This Row],[Module Code]],Table2[Module Code],0))</f>
        <v>100</v>
      </c>
      <c r="D33" s="43">
        <f>INDEX(Table2[Credits],MATCH(Table1[[#This Row],[Module Code]],Table2[Module Code],0))</f>
        <v>10</v>
      </c>
      <c r="E33" s="11" t="s">
        <v>114</v>
      </c>
      <c r="F33" s="33" t="s">
        <v>372</v>
      </c>
      <c r="G33" s="11" t="s">
        <v>214</v>
      </c>
      <c r="H33" s="11" t="s">
        <v>331</v>
      </c>
      <c r="I33" s="11">
        <v>1</v>
      </c>
      <c r="J33" s="44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47">
        <f>SUMIF(Table1[[#This Row],[Autumn Week 1]:[Spring Week 12]],"&gt;0",Table1[[#This Row],[Autumn Week 1]:[Spring Week 12]])</f>
        <v>0.09</v>
      </c>
      <c r="AL33" s="4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41</v>
      </c>
      <c r="B34" s="48" t="str">
        <f>_xlfn.XLOOKUP(Table1[[#This Row],[Module Code]],Table2[Module Code],Table2[Module Title])</f>
        <v>Pathways to success</v>
      </c>
      <c r="C34" s="43">
        <f>INDEX(Table2[CA weight],MATCH(Table1[[#This Row],[Module Code]],Table2[Module Code],0))</f>
        <v>100</v>
      </c>
      <c r="D34" s="43">
        <f>INDEX(Table2[Credits],MATCH(Table1[[#This Row],[Module Code]],Table2[Module Code],0))</f>
        <v>10</v>
      </c>
      <c r="E34" s="11" t="s">
        <v>5</v>
      </c>
      <c r="F34" s="11" t="s">
        <v>371</v>
      </c>
      <c r="G34" s="11" t="s">
        <v>214</v>
      </c>
      <c r="H34" s="11" t="s">
        <v>285</v>
      </c>
      <c r="I34" s="11">
        <v>2</v>
      </c>
      <c r="J34" s="44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47">
        <f>SUMIF(Table1[[#This Row],[Autumn Week 1]:[Spring Week 12]],"&gt;0",Table1[[#This Row],[Autumn Week 1]:[Spring Week 12]])</f>
        <v>0.16</v>
      </c>
      <c r="AL34" s="4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41</v>
      </c>
      <c r="B35" s="48" t="str">
        <f>_xlfn.XLOOKUP(Table1[[#This Row],[Module Code]],Table2[Module Code],Table2[Module Title])</f>
        <v>Pathways to success</v>
      </c>
      <c r="C35" s="43">
        <f>INDEX(Table2[CA weight],MATCH(Table1[[#This Row],[Module Code]],Table2[Module Code],0))</f>
        <v>100</v>
      </c>
      <c r="D35" s="43">
        <f>INDEX(Table2[Credits],MATCH(Table1[[#This Row],[Module Code]],Table2[Module Code],0))</f>
        <v>10</v>
      </c>
      <c r="E35" s="11" t="s">
        <v>110</v>
      </c>
      <c r="F35" s="11" t="s">
        <v>197</v>
      </c>
      <c r="G35" s="11" t="s">
        <v>214</v>
      </c>
      <c r="H35" s="11" t="s">
        <v>285</v>
      </c>
      <c r="I35" s="11">
        <v>3</v>
      </c>
      <c r="J35" s="44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47">
        <f>SUMIF(Table1[[#This Row],[Autumn Week 1]:[Spring Week 12]],"&gt;0",Table1[[#This Row],[Autumn Week 1]:[Spring Week 12]])</f>
        <v>0.2</v>
      </c>
      <c r="AL35" s="4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41</v>
      </c>
      <c r="B36" s="48" t="str">
        <f>_xlfn.XLOOKUP(Table1[[#This Row],[Module Code]],Table2[Module Code],Table2[Module Title])</f>
        <v>Pathways to success</v>
      </c>
      <c r="C36" s="43">
        <f>INDEX(Table2[CA weight],MATCH(Table1[[#This Row],[Module Code]],Table2[Module Code],0))</f>
        <v>100</v>
      </c>
      <c r="D36" s="43">
        <f>INDEX(Table2[Credits],MATCH(Table1[[#This Row],[Module Code]],Table2[Module Code],0))</f>
        <v>10</v>
      </c>
      <c r="E36" s="11" t="s">
        <v>111</v>
      </c>
      <c r="F36" s="11" t="s">
        <v>373</v>
      </c>
      <c r="G36" s="11" t="s">
        <v>214</v>
      </c>
      <c r="H36" s="11" t="s">
        <v>285</v>
      </c>
      <c r="I36" s="11">
        <v>9</v>
      </c>
      <c r="J36" s="44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47">
        <f>SUMIF(Table1[[#This Row],[Autumn Week 1]:[Spring Week 12]],"&gt;0",Table1[[#This Row],[Autumn Week 1]:[Spring Week 12]])</f>
        <v>0.55000000000000004</v>
      </c>
      <c r="AL36" s="4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42</v>
      </c>
      <c r="B37" s="48" t="str">
        <f>_xlfn.XLOOKUP(Table1[[#This Row],[Module Code]],Table2[Module Code],Table2[Module Title])</f>
        <v>Biophysics</v>
      </c>
      <c r="C37" s="43">
        <f>INDEX(Table2[CA weight],MATCH(Table1[[#This Row],[Module Code]],Table2[Module Code],0))</f>
        <v>35</v>
      </c>
      <c r="D37" s="43">
        <f>INDEX(Table2[Credits],MATCH(Table1[[#This Row],[Module Code]],Table2[Module Code],0))</f>
        <v>10</v>
      </c>
      <c r="E37" s="11" t="s">
        <v>113</v>
      </c>
      <c r="F37" s="11" t="s">
        <v>352</v>
      </c>
      <c r="G37" s="11" t="s">
        <v>209</v>
      </c>
      <c r="H37" s="11" t="s">
        <v>331</v>
      </c>
      <c r="I37" s="11">
        <v>1</v>
      </c>
      <c r="J37" s="44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47">
        <f>SUMIF(Table1[[#This Row],[Autumn Week 1]:[Spring Week 12]],"&gt;0",Table1[[#This Row],[Autumn Week 1]:[Spring Week 12]])</f>
        <v>0.25</v>
      </c>
      <c r="AL37" s="4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42</v>
      </c>
      <c r="B38" s="48" t="str">
        <f>_xlfn.XLOOKUP(Table1[[#This Row],[Module Code]],Table2[Module Code],Table2[Module Title])</f>
        <v>Biophysics</v>
      </c>
      <c r="C38" s="43">
        <f>INDEX(Table2[CA weight],MATCH(Table1[[#This Row],[Module Code]],Table2[Module Code],0))</f>
        <v>35</v>
      </c>
      <c r="D38" s="43">
        <f>INDEX(Table2[Credits],MATCH(Table1[[#This Row],[Module Code]],Table2[Module Code],0))</f>
        <v>10</v>
      </c>
      <c r="E38" s="11" t="s">
        <v>350</v>
      </c>
      <c r="F38" s="11" t="s">
        <v>351</v>
      </c>
      <c r="G38" s="11" t="s">
        <v>214</v>
      </c>
      <c r="H38" s="11" t="s">
        <v>285</v>
      </c>
      <c r="I38" s="11">
        <v>1</v>
      </c>
      <c r="J38" s="44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47">
        <f>SUMIF(Table1[[#This Row],[Autumn Week 1]:[Spring Week 12]],"&gt;0",Table1[[#This Row],[Autumn Week 1]:[Spring Week 12]])</f>
        <v>0.15</v>
      </c>
      <c r="AL38" s="4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42</v>
      </c>
      <c r="B39" s="48" t="str">
        <f>_xlfn.XLOOKUP(Table1[[#This Row],[Module Code]],Table2[Module Code],Table2[Module Title])</f>
        <v>Biophysics</v>
      </c>
      <c r="C39" s="43">
        <f>INDEX(Table2[CA weight],MATCH(Table1[[#This Row],[Module Code]],Table2[Module Code],0))</f>
        <v>35</v>
      </c>
      <c r="D39" s="43">
        <f>INDEX(Table2[Credits],MATCH(Table1[[#This Row],[Module Code]],Table2[Module Code],0))</f>
        <v>10</v>
      </c>
      <c r="E39" s="11" t="s">
        <v>5</v>
      </c>
      <c r="F39" s="11" t="s">
        <v>194</v>
      </c>
      <c r="G39" s="11" t="s">
        <v>214</v>
      </c>
      <c r="H39" s="11" t="s">
        <v>291</v>
      </c>
      <c r="I39" s="11">
        <v>5</v>
      </c>
      <c r="J39" s="44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47">
        <f>SUMIF(Table1[[#This Row],[Autumn Week 1]:[Spring Week 12]],"&gt;0",Table1[[#This Row],[Autumn Week 1]:[Spring Week 12]])</f>
        <v>0.2</v>
      </c>
      <c r="AL39" s="47">
        <f>IF(Table1[[#This Row],[Hours]]&gt;0,Table1[[#This Row],[Hours]],Table1[[#This Row],[Nominal Hours]])*COUNTIF(Table1[[#This Row],[Autumn Week 1]:[Spring Week 12]],"&gt;0")</f>
        <v>8</v>
      </c>
    </row>
    <row r="40" spans="1:38" ht="40.5">
      <c r="A40" s="4" t="s">
        <v>45</v>
      </c>
      <c r="B40" s="48" t="str">
        <f>_xlfn.XLOOKUP(Table1[[#This Row],[Module Code]],Table2[Module Code],Table2[Module Title])</f>
        <v>Intermediate Practical Physics I</v>
      </c>
      <c r="C40" s="43">
        <f>INDEX(Table2[CA weight],MATCH(Table1[[#This Row],[Module Code]],Table2[Module Code],0))</f>
        <v>100</v>
      </c>
      <c r="D40" s="43">
        <f>INDEX(Table2[Credits],MATCH(Table1[[#This Row],[Module Code]],Table2[Module Code],0))</f>
        <v>10</v>
      </c>
      <c r="E40" s="11" t="s">
        <v>113</v>
      </c>
      <c r="F40" s="33" t="s">
        <v>277</v>
      </c>
      <c r="G40" s="11" t="s">
        <v>214</v>
      </c>
      <c r="H40" s="11" t="s">
        <v>340</v>
      </c>
      <c r="I40" s="11">
        <v>3</v>
      </c>
      <c r="J40" s="44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47">
        <f>SUMIF(Table1[[#This Row],[Autumn Week 1]:[Spring Week 12]],"&gt;0",Table1[[#This Row],[Autumn Week 1]:[Spring Week 12]])</f>
        <v>0.54</v>
      </c>
      <c r="AL40" s="4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45</v>
      </c>
      <c r="B41" s="48" t="str">
        <f>_xlfn.XLOOKUP(Table1[[#This Row],[Module Code]],Table2[Module Code],Table2[Module Title])</f>
        <v>Intermediate Practical Physics I</v>
      </c>
      <c r="C41" s="43">
        <f>INDEX(Table2[CA weight],MATCH(Table1[[#This Row],[Module Code]],Table2[Module Code],0))</f>
        <v>100</v>
      </c>
      <c r="D41" s="43">
        <f>INDEX(Table2[Credits],MATCH(Table1[[#This Row],[Module Code]],Table2[Module Code],0))</f>
        <v>10</v>
      </c>
      <c r="E41" s="11" t="s">
        <v>5</v>
      </c>
      <c r="F41" s="11" t="s">
        <v>193</v>
      </c>
      <c r="G41" s="11" t="s">
        <v>214</v>
      </c>
      <c r="H41" s="11" t="s">
        <v>340</v>
      </c>
      <c r="I41" s="11">
        <v>1</v>
      </c>
      <c r="J41" s="44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47">
        <f>SUMIF(Table1[[#This Row],[Autumn Week 1]:[Spring Week 12]],"&gt;0",Table1[[#This Row],[Autumn Week 1]:[Spring Week 12]])</f>
        <v>0.1</v>
      </c>
      <c r="AL41" s="4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45</v>
      </c>
      <c r="B42" s="48" t="str">
        <f>_xlfn.XLOOKUP(Table1[[#This Row],[Module Code]],Table2[Module Code],Table2[Module Title])</f>
        <v>Intermediate Practical Physics I</v>
      </c>
      <c r="C42" s="43">
        <f>INDEX(Table2[CA weight],MATCH(Table1[[#This Row],[Module Code]],Table2[Module Code],0))</f>
        <v>100</v>
      </c>
      <c r="D42" s="43">
        <f>INDEX(Table2[Credits],MATCH(Table1[[#This Row],[Module Code]],Table2[Module Code],0))</f>
        <v>10</v>
      </c>
      <c r="E42" s="11" t="s">
        <v>5</v>
      </c>
      <c r="F42" s="11" t="s">
        <v>194</v>
      </c>
      <c r="G42" s="11" t="s">
        <v>214</v>
      </c>
      <c r="H42" s="11" t="s">
        <v>285</v>
      </c>
      <c r="I42" s="11">
        <v>3</v>
      </c>
      <c r="J42" s="44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47">
        <f>SUMIF(Table1[[#This Row],[Autumn Week 1]:[Spring Week 12]],"&gt;0",Table1[[#This Row],[Autumn Week 1]:[Spring Week 12]])</f>
        <v>0.3</v>
      </c>
      <c r="AL42" s="4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45</v>
      </c>
      <c r="B43" s="48" t="str">
        <f>_xlfn.XLOOKUP(Table1[[#This Row],[Module Code]],Table2[Module Code],Table2[Module Title])</f>
        <v>Intermediate Practical Physics I</v>
      </c>
      <c r="C43" s="43">
        <f>INDEX(Table2[CA weight],MATCH(Table1[[#This Row],[Module Code]],Table2[Module Code],0))</f>
        <v>100</v>
      </c>
      <c r="D43" s="43">
        <f>INDEX(Table2[Credits],MATCH(Table1[[#This Row],[Module Code]],Table2[Module Code],0))</f>
        <v>10</v>
      </c>
      <c r="E43" s="11" t="s">
        <v>5</v>
      </c>
      <c r="F43" s="11" t="s">
        <v>245</v>
      </c>
      <c r="G43" s="11" t="s">
        <v>214</v>
      </c>
      <c r="H43" s="11" t="s">
        <v>285</v>
      </c>
      <c r="I43" s="11">
        <v>9</v>
      </c>
      <c r="J43" s="44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47">
        <f>SUMIF(Table1[[#This Row],[Autumn Week 1]:[Spring Week 12]],"&gt;0",Table1[[#This Row],[Autumn Week 1]:[Spring Week 12]])</f>
        <v>0.06</v>
      </c>
      <c r="AL43" s="4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47</v>
      </c>
      <c r="B44" s="48" t="str">
        <f>_xlfn.XLOOKUP(Table1[[#This Row],[Module Code]],Table2[Module Code],Table2[Module Title])</f>
        <v>Intermediate Practical Physics </v>
      </c>
      <c r="C44" s="43">
        <f>INDEX(Table2[CA weight],MATCH(Table1[[#This Row],[Module Code]],Table2[Module Code],0))</f>
        <v>100</v>
      </c>
      <c r="D44" s="43">
        <f>INDEX(Table2[Credits],MATCH(Table1[[#This Row],[Module Code]],Table2[Module Code],0))</f>
        <v>20</v>
      </c>
      <c r="E44" s="11" t="s">
        <v>113</v>
      </c>
      <c r="F44" s="11" t="s">
        <v>326</v>
      </c>
      <c r="G44" s="11" t="s">
        <v>209</v>
      </c>
      <c r="H44" s="11" t="s">
        <v>340</v>
      </c>
      <c r="I44" s="11">
        <v>1</v>
      </c>
      <c r="J44" s="44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47">
        <f>SUMIF(Table1[[#This Row],[Autumn Week 1]:[Spring Week 12]],"&gt;0",Table1[[#This Row],[Autumn Week 1]:[Spring Week 12]])</f>
        <v>0.95000000000000029</v>
      </c>
      <c r="AL44" s="4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47</v>
      </c>
      <c r="B45" s="48" t="str">
        <f>_xlfn.XLOOKUP(Table1[[#This Row],[Module Code]],Table2[Module Code],Table2[Module Title])</f>
        <v>Intermediate Practical Physics </v>
      </c>
      <c r="C45" s="43">
        <f>INDEX(Table2[CA weight],MATCH(Table1[[#This Row],[Module Code]],Table2[Module Code],0))</f>
        <v>100</v>
      </c>
      <c r="D45" s="43">
        <f>INDEX(Table2[Credits],MATCH(Table1[[#This Row],[Module Code]],Table2[Module Code],0))</f>
        <v>20</v>
      </c>
      <c r="E45" s="11" t="s">
        <v>5</v>
      </c>
      <c r="F45" s="11" t="s">
        <v>327</v>
      </c>
      <c r="G45" s="11" t="s">
        <v>214</v>
      </c>
      <c r="H45" s="11" t="s">
        <v>340</v>
      </c>
      <c r="I45" s="11">
        <v>1</v>
      </c>
      <c r="J45" s="44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47">
        <f>SUMIF(Table1[[#This Row],[Autumn Week 1]:[Spring Week 12]],"&gt;0",Table1[[#This Row],[Autumn Week 1]:[Spring Week 12]])</f>
        <v>0.05</v>
      </c>
      <c r="AL45" s="4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47</v>
      </c>
      <c r="B46" s="48" t="str">
        <f>_xlfn.XLOOKUP(Table1[[#This Row],[Module Code]],Table2[Module Code],Table2[Module Title])</f>
        <v>Intermediate Practical Physics </v>
      </c>
      <c r="C46" s="43">
        <f>INDEX(Table2[CA weight],MATCH(Table1[[#This Row],[Module Code]],Table2[Module Code],0))</f>
        <v>100</v>
      </c>
      <c r="D46" s="43">
        <f>INDEX(Table2[Credits],MATCH(Table1[[#This Row],[Module Code]],Table2[Module Code],0))</f>
        <v>20</v>
      </c>
      <c r="E46" s="11" t="s">
        <v>113</v>
      </c>
      <c r="F46" s="11" t="s">
        <v>328</v>
      </c>
      <c r="G46" s="11" t="s">
        <v>214</v>
      </c>
      <c r="H46" s="11" t="s">
        <v>340</v>
      </c>
      <c r="I46" s="11">
        <v>3</v>
      </c>
      <c r="J46" s="44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47">
        <f>SUMIF(Table1[[#This Row],[Autumn Week 1]:[Spring Week 12]],"&gt;0",Table1[[#This Row],[Autumn Week 1]:[Spring Week 12]])</f>
        <v>0.30000000000000004</v>
      </c>
      <c r="AL46" s="4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47</v>
      </c>
      <c r="B47" s="48" t="str">
        <f>_xlfn.XLOOKUP(Table1[[#This Row],[Module Code]],Table2[Module Code],Table2[Module Title])</f>
        <v>Intermediate Practical Physics </v>
      </c>
      <c r="C47" s="43">
        <f>INDEX(Table2[CA weight],MATCH(Table1[[#This Row],[Module Code]],Table2[Module Code],0))</f>
        <v>100</v>
      </c>
      <c r="D47" s="43">
        <f>INDEX(Table2[Credits],MATCH(Table1[[#This Row],[Module Code]],Table2[Module Code],0))</f>
        <v>20</v>
      </c>
      <c r="E47" s="11" t="s">
        <v>113</v>
      </c>
      <c r="F47" s="11" t="s">
        <v>328</v>
      </c>
      <c r="G47" s="11" t="s">
        <v>214</v>
      </c>
      <c r="H47" s="11" t="s">
        <v>340</v>
      </c>
      <c r="I47" s="11">
        <v>3</v>
      </c>
      <c r="J47" s="44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47">
        <f>SUMIF(Table1[[#This Row],[Autumn Week 1]:[Spring Week 12]],"&gt;0",Table1[[#This Row],[Autumn Week 1]:[Spring Week 12]])</f>
        <v>0.30000000000000004</v>
      </c>
      <c r="AL47" s="4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47</v>
      </c>
      <c r="B48" s="48" t="str">
        <f>_xlfn.XLOOKUP(Table1[[#This Row],[Module Code]],Table2[Module Code],Table2[Module Title])</f>
        <v>Intermediate Practical Physics </v>
      </c>
      <c r="C48" s="43">
        <f>INDEX(Table2[CA weight],MATCH(Table1[[#This Row],[Module Code]],Table2[Module Code],0))</f>
        <v>100</v>
      </c>
      <c r="D48" s="43">
        <f>INDEX(Table2[Credits],MATCH(Table1[[#This Row],[Module Code]],Table2[Module Code],0))</f>
        <v>20</v>
      </c>
      <c r="E48" s="11" t="s">
        <v>111</v>
      </c>
      <c r="F48" s="11" t="s">
        <v>245</v>
      </c>
      <c r="G48" s="11" t="s">
        <v>214</v>
      </c>
      <c r="H48" s="11" t="s">
        <v>285</v>
      </c>
      <c r="I48" s="11">
        <v>10</v>
      </c>
      <c r="J48" s="44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47">
        <f>SUMIF(Table1[[#This Row],[Autumn Week 1]:[Spring Week 12]],"&gt;0",Table1[[#This Row],[Autumn Week 1]:[Spring Week 12]])</f>
        <v>0.05</v>
      </c>
      <c r="AL48" s="4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47</v>
      </c>
      <c r="B49" s="48" t="str">
        <f>_xlfn.XLOOKUP(Table1[[#This Row],[Module Code]],Table2[Module Code],Table2[Module Title])</f>
        <v>Intermediate Practical Physics </v>
      </c>
      <c r="C49" s="43">
        <f>INDEX(Table2[CA weight],MATCH(Table1[[#This Row],[Module Code]],Table2[Module Code],0))</f>
        <v>100</v>
      </c>
      <c r="D49" s="43">
        <f>INDEX(Table2[Credits],MATCH(Table1[[#This Row],[Module Code]],Table2[Module Code],0))</f>
        <v>20</v>
      </c>
      <c r="E49" s="11" t="s">
        <v>5</v>
      </c>
      <c r="F49" s="11" t="s">
        <v>194</v>
      </c>
      <c r="G49" s="11" t="s">
        <v>214</v>
      </c>
      <c r="H49" s="11" t="s">
        <v>285</v>
      </c>
      <c r="I49" s="11">
        <v>4</v>
      </c>
      <c r="J49" s="44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47">
        <f>SUMIF(Table1[[#This Row],[Autumn Week 1]:[Spring Week 12]],"&gt;0",Table1[[#This Row],[Autumn Week 1]:[Spring Week 12]])</f>
        <v>0.3</v>
      </c>
      <c r="AL49" s="4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49</v>
      </c>
      <c r="B50" s="48" t="str">
        <f>_xlfn.XLOOKUP(Table1[[#This Row],[Module Code]],Table2[Module Code],Table2[Module Title])</f>
        <v>Observational Techniques in Astronomy </v>
      </c>
      <c r="C50" s="43">
        <f>INDEX(Table2[CA weight],MATCH(Table1[[#This Row],[Module Code]],Table2[Module Code],0))</f>
        <v>100</v>
      </c>
      <c r="D50" s="43">
        <f>INDEX(Table2[Credits],MATCH(Table1[[#This Row],[Module Code]],Table2[Module Code],0))</f>
        <v>20</v>
      </c>
      <c r="E50" s="11" t="s">
        <v>113</v>
      </c>
      <c r="F50" s="11" t="s">
        <v>326</v>
      </c>
      <c r="G50" s="11" t="s">
        <v>209</v>
      </c>
      <c r="H50" s="11" t="s">
        <v>341</v>
      </c>
      <c r="I50" s="11">
        <v>1</v>
      </c>
      <c r="J50" s="44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47">
        <f>SUMIF(Table1[[#This Row],[Autumn Week 1]:[Spring Week 12]],"&gt;0",Table1[[#This Row],[Autumn Week 1]:[Spring Week 12]])</f>
        <v>1.0000000000000002</v>
      </c>
      <c r="AL50" s="4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49</v>
      </c>
      <c r="B51" s="48" t="str">
        <f>_xlfn.XLOOKUP(Table1[[#This Row],[Module Code]],Table2[Module Code],Table2[Module Title])</f>
        <v>Observational Techniques in Astronomy </v>
      </c>
      <c r="C51" s="43">
        <f>INDEX(Table2[CA weight],MATCH(Table1[[#This Row],[Module Code]],Table2[Module Code],0))</f>
        <v>100</v>
      </c>
      <c r="D51" s="43">
        <f>INDEX(Table2[Credits],MATCH(Table1[[#This Row],[Module Code]],Table2[Module Code],0))</f>
        <v>20</v>
      </c>
      <c r="E51" s="11" t="s">
        <v>113</v>
      </c>
      <c r="F51" s="11" t="s">
        <v>247</v>
      </c>
      <c r="G51" s="11" t="s">
        <v>214</v>
      </c>
      <c r="H51" s="11" t="s">
        <v>341</v>
      </c>
      <c r="I51" s="11">
        <v>2</v>
      </c>
      <c r="J51" s="44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47">
        <f>SUMIF(Table1[[#This Row],[Autumn Week 1]:[Spring Week 12]],"&gt;0",Table1[[#This Row],[Autumn Week 1]:[Spring Week 12]])</f>
        <v>0.4</v>
      </c>
      <c r="AL51" s="4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49</v>
      </c>
      <c r="B52" s="48" t="str">
        <f>_xlfn.XLOOKUP(Table1[[#This Row],[Module Code]],Table2[Module Code],Table2[Module Title])</f>
        <v>Observational Techniques in Astronomy </v>
      </c>
      <c r="C52" s="43">
        <f>INDEX(Table2[CA weight],MATCH(Table1[[#This Row],[Module Code]],Table2[Module Code],0))</f>
        <v>100</v>
      </c>
      <c r="D52" s="43">
        <f>INDEX(Table2[Credits],MATCH(Table1[[#This Row],[Module Code]],Table2[Module Code],0))</f>
        <v>20</v>
      </c>
      <c r="E52" s="11" t="s">
        <v>5</v>
      </c>
      <c r="F52" s="11" t="s">
        <v>193</v>
      </c>
      <c r="G52" s="11" t="s">
        <v>214</v>
      </c>
      <c r="H52" s="11" t="s">
        <v>341</v>
      </c>
      <c r="I52" s="11">
        <v>2</v>
      </c>
      <c r="J52" s="44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47">
        <f>SUMIF(Table1[[#This Row],[Autumn Week 1]:[Spring Week 12]],"&gt;0",Table1[[#This Row],[Autumn Week 1]:[Spring Week 12]])</f>
        <v>0.1</v>
      </c>
      <c r="AL52" s="4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49</v>
      </c>
      <c r="B53" s="48" t="str">
        <f>_xlfn.XLOOKUP(Table1[[#This Row],[Module Code]],Table2[Module Code],Table2[Module Title])</f>
        <v>Observational Techniques in Astronomy </v>
      </c>
      <c r="C53" s="43">
        <f>INDEX(Table2[CA weight],MATCH(Table1[[#This Row],[Module Code]],Table2[Module Code],0))</f>
        <v>100</v>
      </c>
      <c r="D53" s="43">
        <f>INDEX(Table2[Credits],MATCH(Table1[[#This Row],[Module Code]],Table2[Module Code],0))</f>
        <v>20</v>
      </c>
      <c r="E53" s="11" t="s">
        <v>5</v>
      </c>
      <c r="F53" s="11" t="s">
        <v>192</v>
      </c>
      <c r="G53" s="11" t="s">
        <v>214</v>
      </c>
      <c r="H53" s="11" t="s">
        <v>285</v>
      </c>
      <c r="I53" s="11">
        <v>3</v>
      </c>
      <c r="J53" s="44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47">
        <f>SUMIF(Table1[[#This Row],[Autumn Week 1]:[Spring Week 12]],"&gt;0",Table1[[#This Row],[Autumn Week 1]:[Spring Week 12]])</f>
        <v>0.2</v>
      </c>
      <c r="AL53" s="4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49</v>
      </c>
      <c r="B54" s="48" t="str">
        <f>_xlfn.XLOOKUP(Table1[[#This Row],[Module Code]],Table2[Module Code],Table2[Module Title])</f>
        <v>Observational Techniques in Astronomy </v>
      </c>
      <c r="C54" s="43">
        <f>INDEX(Table2[CA weight],MATCH(Table1[[#This Row],[Module Code]],Table2[Module Code],0))</f>
        <v>100</v>
      </c>
      <c r="D54" s="43">
        <f>INDEX(Table2[Credits],MATCH(Table1[[#This Row],[Module Code]],Table2[Module Code],0))</f>
        <v>20</v>
      </c>
      <c r="E54" s="11" t="s">
        <v>110</v>
      </c>
      <c r="F54" s="11" t="s">
        <v>329</v>
      </c>
      <c r="G54" s="11" t="s">
        <v>214</v>
      </c>
      <c r="H54" s="11" t="s">
        <v>285</v>
      </c>
      <c r="I54" s="11">
        <v>6</v>
      </c>
      <c r="J54" s="44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47">
        <f>SUMIF(Table1[[#This Row],[Autumn Week 1]:[Spring Week 12]],"&gt;0",Table1[[#This Row],[Autumn Week 1]:[Spring Week 12]])</f>
        <v>0.3</v>
      </c>
      <c r="AL54" s="4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84</v>
      </c>
      <c r="B55" s="48" t="str">
        <f>_xlfn.XLOOKUP(Table1[[#This Row],[Module Code]],Table2[Module Code],Table2[Module Title])</f>
        <v>Thermal and Statistical Physics </v>
      </c>
      <c r="C55" s="43">
        <f>INDEX(Table2[CA weight],MATCH(Table1[[#This Row],[Module Code]],Table2[Module Code],0))</f>
        <v>30</v>
      </c>
      <c r="D55" s="43">
        <f>INDEX(Table2[Credits],MATCH(Table1[[#This Row],[Module Code]],Table2[Module Code],0))</f>
        <v>20</v>
      </c>
      <c r="E55" s="11" t="s">
        <v>114</v>
      </c>
      <c r="F55" s="11" t="s">
        <v>246</v>
      </c>
      <c r="G55" s="11" t="s">
        <v>214</v>
      </c>
      <c r="H55" s="11" t="s">
        <v>285</v>
      </c>
      <c r="I55" s="11">
        <v>1</v>
      </c>
      <c r="J55" s="44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47">
        <f>SUMIF(Table1[[#This Row],[Autumn Week 1]:[Spring Week 12]],"&gt;0",Table1[[#This Row],[Autumn Week 1]:[Spring Week 12]])</f>
        <v>0.1</v>
      </c>
      <c r="AL55" s="4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84</v>
      </c>
      <c r="B56" s="48" t="str">
        <f>_xlfn.XLOOKUP(Table1[[#This Row],[Module Code]],Table2[Module Code],Table2[Module Title])</f>
        <v>Thermal and Statistical Physics </v>
      </c>
      <c r="C56" s="43">
        <f>INDEX(Table2[CA weight],MATCH(Table1[[#This Row],[Module Code]],Table2[Module Code],0))</f>
        <v>30</v>
      </c>
      <c r="D56" s="43">
        <f>INDEX(Table2[Credits],MATCH(Table1[[#This Row],[Module Code]],Table2[Module Code],0))</f>
        <v>20</v>
      </c>
      <c r="E56" s="12" t="s">
        <v>5</v>
      </c>
      <c r="F56" s="12" t="s">
        <v>195</v>
      </c>
      <c r="G56" s="11" t="s">
        <v>214</v>
      </c>
      <c r="H56" s="11" t="s">
        <v>285</v>
      </c>
      <c r="I56" s="11">
        <v>3</v>
      </c>
      <c r="J56" s="44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47">
        <f>SUMIF(Table1[[#This Row],[Autumn Week 1]:[Spring Week 12]],"&gt;0",Table1[[#This Row],[Autumn Week 1]:[Spring Week 12]])</f>
        <v>0.2</v>
      </c>
      <c r="AL56" s="4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85</v>
      </c>
      <c r="B57" s="48" t="str">
        <f>_xlfn.XLOOKUP(Table1[[#This Row],[Module Code]],Table2[Module Code],Table2[Module Title])</f>
        <v>Optics</v>
      </c>
      <c r="C57" s="43">
        <f>INDEX(Table2[CA weight],MATCH(Table1[[#This Row],[Module Code]],Table2[Module Code],0))</f>
        <v>30</v>
      </c>
      <c r="D57" s="43">
        <f>INDEX(Table2[Credits],MATCH(Table1[[#This Row],[Module Code]],Table2[Module Code],0))</f>
        <v>10</v>
      </c>
      <c r="E57" s="11" t="s">
        <v>5</v>
      </c>
      <c r="F57" s="11" t="s">
        <v>195</v>
      </c>
      <c r="G57" s="11" t="s">
        <v>214</v>
      </c>
      <c r="H57" s="11" t="s">
        <v>285</v>
      </c>
      <c r="I57" s="11">
        <v>1</v>
      </c>
      <c r="J57" s="44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47">
        <f>SUMIF(Table1[[#This Row],[Autumn Week 1]:[Spring Week 12]],"&gt;0",Table1[[#This Row],[Autumn Week 1]:[Spring Week 12]])</f>
        <v>0.30000000000000004</v>
      </c>
      <c r="AL57" s="47">
        <f>IF(Table1[[#This Row],[Hours]]&gt;0,Table1[[#This Row],[Hours]],Table1[[#This Row],[Nominal Hours]])*COUNTIF(Table1[[#This Row],[Autumn Week 1]:[Spring Week 12]],"&gt;0")</f>
        <v>12.000000000000004</v>
      </c>
    </row>
    <row r="58" spans="1:38" ht="54">
      <c r="A58" s="3" t="s">
        <v>175</v>
      </c>
      <c r="B58" s="48" t="str">
        <f>_xlfn.XLOOKUP(Table1[[#This Row],[Module Code]],Table2[Module Code],Table2[Module Title])</f>
        <v>Introduction to Condensed Matter Physics</v>
      </c>
      <c r="C58" s="43">
        <f>INDEX(Table2[CA weight],MATCH(Table1[[#This Row],[Module Code]],Table2[Module Code],0))</f>
        <v>30</v>
      </c>
      <c r="D58" s="43">
        <f>INDEX(Table2[Credits],MATCH(Table1[[#This Row],[Module Code]],Table2[Module Code],0))</f>
        <v>10</v>
      </c>
      <c r="E58" s="11" t="s">
        <v>114</v>
      </c>
      <c r="F58" s="33" t="s">
        <v>275</v>
      </c>
      <c r="G58" s="11" t="s">
        <v>214</v>
      </c>
      <c r="H58" s="11" t="s">
        <v>285</v>
      </c>
      <c r="I58" s="11">
        <v>1</v>
      </c>
      <c r="J58" s="44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47">
        <f>SUMIF(Table1[[#This Row],[Autumn Week 1]:[Spring Week 12]],"&gt;0",Table1[[#This Row],[Autumn Week 1]:[Spring Week 12]])</f>
        <v>0.15</v>
      </c>
      <c r="AL58" s="47">
        <f>IF(Table1[[#This Row],[Hours]]&gt;0,Table1[[#This Row],[Hours]],Table1[[#This Row],[Nominal Hours]])*COUNTIF(Table1[[#This Row],[Autumn Week 1]:[Spring Week 12]],"&gt;0")</f>
        <v>6</v>
      </c>
    </row>
    <row r="59" spans="1:38" ht="54">
      <c r="A59" s="3" t="s">
        <v>175</v>
      </c>
      <c r="B59" s="48" t="str">
        <f>_xlfn.XLOOKUP(Table1[[#This Row],[Module Code]],Table2[Module Code],Table2[Module Title])</f>
        <v>Introduction to Condensed Matter Physics</v>
      </c>
      <c r="C59" s="43">
        <f>INDEX(Table2[CA weight],MATCH(Table1[[#This Row],[Module Code]],Table2[Module Code],0))</f>
        <v>30</v>
      </c>
      <c r="D59" s="43">
        <f>INDEX(Table2[Credits],MATCH(Table1[[#This Row],[Module Code]],Table2[Module Code],0))</f>
        <v>10</v>
      </c>
      <c r="E59" s="11" t="s">
        <v>114</v>
      </c>
      <c r="F59" s="33" t="s">
        <v>276</v>
      </c>
      <c r="G59" s="11" t="s">
        <v>214</v>
      </c>
      <c r="H59" s="11" t="s">
        <v>285</v>
      </c>
      <c r="I59" s="11">
        <v>1</v>
      </c>
      <c r="J59" s="44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47">
        <f>SUMIF(Table1[[#This Row],[Autumn Week 1]:[Spring Week 12]],"&gt;0",Table1[[#This Row],[Autumn Week 1]:[Spring Week 12]])</f>
        <v>0.15</v>
      </c>
      <c r="AL59" s="4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80</v>
      </c>
      <c r="B60" s="48" t="str">
        <f>_xlfn.XLOOKUP(Table1[[#This Row],[Module Code]],Table2[Module Code],Table2[Module Title])</f>
        <v>Nuclear Medicine</v>
      </c>
      <c r="C60" s="43">
        <f>INDEX(Table2[CA weight],MATCH(Table1[[#This Row],[Module Code]],Table2[Module Code],0))</f>
        <v>20</v>
      </c>
      <c r="D60" s="43">
        <f>INDEX(Table2[Credits],MATCH(Table1[[#This Row],[Module Code]],Table2[Module Code],0))</f>
        <v>10</v>
      </c>
      <c r="E60" s="12" t="s">
        <v>5</v>
      </c>
      <c r="F60" s="12" t="s">
        <v>251</v>
      </c>
      <c r="G60" s="11" t="s">
        <v>214</v>
      </c>
      <c r="H60" s="11" t="s">
        <v>285</v>
      </c>
      <c r="I60" s="11">
        <v>4</v>
      </c>
      <c r="J60" s="44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47">
        <f>SUMIF(Table1[[#This Row],[Autumn Week 1]:[Spring Week 12]],"&gt;0",Table1[[#This Row],[Autumn Week 1]:[Spring Week 12]])</f>
        <v>0.1</v>
      </c>
      <c r="AL60" s="4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80</v>
      </c>
      <c r="B61" s="48" t="str">
        <f>_xlfn.XLOOKUP(Table1[[#This Row],[Module Code]],Table2[Module Code],Table2[Module Title])</f>
        <v>Nuclear Medicine</v>
      </c>
      <c r="C61" s="43">
        <f>INDEX(Table2[CA weight],MATCH(Table1[[#This Row],[Module Code]],Table2[Module Code],0))</f>
        <v>20</v>
      </c>
      <c r="D61" s="43">
        <f>INDEX(Table2[Credits],MATCH(Table1[[#This Row],[Module Code]],Table2[Module Code],0))</f>
        <v>10</v>
      </c>
      <c r="E61" s="12" t="s">
        <v>110</v>
      </c>
      <c r="F61" s="12" t="s">
        <v>197</v>
      </c>
      <c r="G61" s="11" t="s">
        <v>214</v>
      </c>
      <c r="H61" s="11" t="s">
        <v>295</v>
      </c>
      <c r="I61" s="11">
        <v>4</v>
      </c>
      <c r="J61" s="44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47">
        <f>SUMIF(Table1[[#This Row],[Autumn Week 1]:[Spring Week 12]],"&gt;0",Table1[[#This Row],[Autumn Week 1]:[Spring Week 12]])</f>
        <v>0.1</v>
      </c>
      <c r="AL61" s="47">
        <f>IF(Table1[[#This Row],[Hours]]&gt;0,Table1[[#This Row],[Hours]],Table1[[#This Row],[Nominal Hours]])*COUNTIF(Table1[[#This Row],[Autumn Week 1]:[Spring Week 12]],"&gt;0")</f>
        <v>4</v>
      </c>
    </row>
    <row r="62" spans="1:38" ht="27">
      <c r="A62" s="3" t="s">
        <v>82</v>
      </c>
      <c r="B62" s="48" t="str">
        <f>_xlfn.XLOOKUP(Table1[[#This Row],[Module Code]],Table2[Module Code],Table2[Module Title])</f>
        <v>Physics in Action: Real-world problem solving</v>
      </c>
      <c r="C62" s="43">
        <f>INDEX(Table2[CA weight],MATCH(Table1[[#This Row],[Module Code]],Table2[Module Code],0))</f>
        <v>100</v>
      </c>
      <c r="D62" s="43">
        <f>INDEX(Table2[Credits],MATCH(Table1[[#This Row],[Module Code]],Table2[Module Code],0))</f>
        <v>10</v>
      </c>
      <c r="E62" s="11" t="s">
        <v>113</v>
      </c>
      <c r="F62" s="33" t="s">
        <v>325</v>
      </c>
      <c r="G62" s="11" t="s">
        <v>214</v>
      </c>
      <c r="H62" s="11" t="s">
        <v>307</v>
      </c>
      <c r="I62" s="11">
        <v>1</v>
      </c>
      <c r="J62" s="44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47">
        <f>SUMIF(Table1[[#This Row],[Autumn Week 1]:[Spring Week 12]],"&gt;0",Table1[[#This Row],[Autumn Week 1]:[Spring Week 12]])</f>
        <v>0.71999999999999986</v>
      </c>
      <c r="AL62" s="4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82</v>
      </c>
      <c r="B63" s="48" t="str">
        <f>_xlfn.XLOOKUP(Table1[[#This Row],[Module Code]],Table2[Module Code],Table2[Module Title])</f>
        <v>Physics in Action: Real-world problem solving</v>
      </c>
      <c r="C63" s="43">
        <f>INDEX(Table2[CA weight],MATCH(Table1[[#This Row],[Module Code]],Table2[Module Code],0))</f>
        <v>100</v>
      </c>
      <c r="D63" s="43">
        <f>INDEX(Table2[Credits],MATCH(Table1[[#This Row],[Module Code]],Table2[Module Code],0))</f>
        <v>10</v>
      </c>
      <c r="E63" s="12" t="s">
        <v>110</v>
      </c>
      <c r="F63" s="12" t="s">
        <v>198</v>
      </c>
      <c r="G63" s="11" t="s">
        <v>214</v>
      </c>
      <c r="H63" s="11" t="s">
        <v>285</v>
      </c>
      <c r="I63" s="11">
        <v>9</v>
      </c>
      <c r="J63" s="44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47">
        <f>SUMIF(Table1[[#This Row],[Autumn Week 1]:[Spring Week 12]],"&gt;0",Table1[[#This Row],[Autumn Week 1]:[Spring Week 12]])</f>
        <v>0.13</v>
      </c>
      <c r="AL63" s="4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82</v>
      </c>
      <c r="B64" s="48" t="str">
        <f>_xlfn.XLOOKUP(Table1[[#This Row],[Module Code]],Table2[Module Code],Table2[Module Title])</f>
        <v>Physics in Action: Real-world problem solving</v>
      </c>
      <c r="C64" s="43">
        <f>INDEX(Table2[CA weight],MATCH(Table1[[#This Row],[Module Code]],Table2[Module Code],0))</f>
        <v>100</v>
      </c>
      <c r="D64" s="43">
        <f>INDEX(Table2[Credits],MATCH(Table1[[#This Row],[Module Code]],Table2[Module Code],0))</f>
        <v>10</v>
      </c>
      <c r="E64" s="12" t="s">
        <v>5</v>
      </c>
      <c r="F64" s="12" t="s">
        <v>245</v>
      </c>
      <c r="G64" s="11" t="s">
        <v>214</v>
      </c>
      <c r="H64" s="11" t="s">
        <v>285</v>
      </c>
      <c r="I64" s="11">
        <v>1</v>
      </c>
      <c r="J64" s="44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47">
        <f>SUMIF(Table1[[#This Row],[Autumn Week 1]:[Spring Week 12]],"&gt;0",Table1[[#This Row],[Autumn Week 1]:[Spring Week 12]])</f>
        <v>0.05</v>
      </c>
      <c r="AL64" s="4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82</v>
      </c>
      <c r="B65" s="48" t="str">
        <f>_xlfn.XLOOKUP(Table1[[#This Row],[Module Code]],Table2[Module Code],Table2[Module Title])</f>
        <v>Physics in Action: Real-world problem solving</v>
      </c>
      <c r="C65" s="43">
        <f>INDEX(Table2[CA weight],MATCH(Table1[[#This Row],[Module Code]],Table2[Module Code],0))</f>
        <v>100</v>
      </c>
      <c r="D65" s="43">
        <f>INDEX(Table2[Credits],MATCH(Table1[[#This Row],[Module Code]],Table2[Module Code],0))</f>
        <v>10</v>
      </c>
      <c r="E65" s="12" t="s">
        <v>110</v>
      </c>
      <c r="F65" s="12" t="s">
        <v>197</v>
      </c>
      <c r="G65" s="11" t="s">
        <v>214</v>
      </c>
      <c r="H65" s="11" t="s">
        <v>307</v>
      </c>
      <c r="I65" s="11">
        <v>9</v>
      </c>
      <c r="J65" s="44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47">
        <f>SUMIF(Table1[[#This Row],[Autumn Week 1]:[Spring Week 12]],"&gt;0",Table1[[#This Row],[Autumn Week 1]:[Spring Week 12]])</f>
        <v>0.1</v>
      </c>
      <c r="AL65" s="4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86</v>
      </c>
      <c r="B66" s="48" t="str">
        <f>_xlfn.XLOOKUP(Table1[[#This Row],[Module Code]],Table2[Module Code],Table2[Module Title])</f>
        <v>Astrophysics in Action: Real-world problem solving</v>
      </c>
      <c r="C66" s="43">
        <f>INDEX(Table2[CA weight],MATCH(Table1[[#This Row],[Module Code]],Table2[Module Code],0))</f>
        <v>100</v>
      </c>
      <c r="D66" s="43">
        <f>INDEX(Table2[Credits],MATCH(Table1[[#This Row],[Module Code]],Table2[Module Code],0))</f>
        <v>10</v>
      </c>
      <c r="E66" s="11" t="s">
        <v>113</v>
      </c>
      <c r="F66" s="33" t="s">
        <v>325</v>
      </c>
      <c r="G66" s="11" t="s">
        <v>214</v>
      </c>
      <c r="H66" s="11" t="s">
        <v>291</v>
      </c>
      <c r="I66" s="11">
        <v>1</v>
      </c>
      <c r="J66" s="44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47">
        <f>SUMIF(Table1[[#This Row],[Autumn Week 1]:[Spring Week 12]],"&gt;0",Table1[[#This Row],[Autumn Week 1]:[Spring Week 12]])</f>
        <v>0.71999999999999986</v>
      </c>
      <c r="AL66" s="4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86</v>
      </c>
      <c r="B67" s="48" t="str">
        <f>_xlfn.XLOOKUP(Table1[[#This Row],[Module Code]],Table2[Module Code],Table2[Module Title])</f>
        <v>Astrophysics in Action: Real-world problem solving</v>
      </c>
      <c r="C67" s="43">
        <f>INDEX(Table2[CA weight],MATCH(Table1[[#This Row],[Module Code]],Table2[Module Code],0))</f>
        <v>100</v>
      </c>
      <c r="D67" s="43">
        <f>INDEX(Table2[Credits],MATCH(Table1[[#This Row],[Module Code]],Table2[Module Code],0))</f>
        <v>10</v>
      </c>
      <c r="E67" s="12" t="s">
        <v>110</v>
      </c>
      <c r="F67" s="12" t="s">
        <v>198</v>
      </c>
      <c r="G67" s="11" t="s">
        <v>214</v>
      </c>
      <c r="H67" s="11" t="s">
        <v>285</v>
      </c>
      <c r="I67" s="11">
        <v>9</v>
      </c>
      <c r="J67" s="44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47">
        <f>SUMIF(Table1[[#This Row],[Autumn Week 1]:[Spring Week 12]],"&gt;0",Table1[[#This Row],[Autumn Week 1]:[Spring Week 12]])</f>
        <v>0.13</v>
      </c>
      <c r="AL67" s="4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86</v>
      </c>
      <c r="B68" s="48" t="str">
        <f>_xlfn.XLOOKUP(Table1[[#This Row],[Module Code]],Table2[Module Code],Table2[Module Title])</f>
        <v>Astrophysics in Action: Real-world problem solving</v>
      </c>
      <c r="C68" s="43">
        <f>INDEX(Table2[CA weight],MATCH(Table1[[#This Row],[Module Code]],Table2[Module Code],0))</f>
        <v>100</v>
      </c>
      <c r="D68" s="43">
        <f>INDEX(Table2[Credits],MATCH(Table1[[#This Row],[Module Code]],Table2[Module Code],0))</f>
        <v>10</v>
      </c>
      <c r="E68" s="12" t="s">
        <v>5</v>
      </c>
      <c r="F68" s="12" t="s">
        <v>245</v>
      </c>
      <c r="G68" s="11" t="s">
        <v>214</v>
      </c>
      <c r="H68" s="11" t="s">
        <v>285</v>
      </c>
      <c r="I68" s="11">
        <v>1</v>
      </c>
      <c r="J68" s="44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47">
        <f>SUMIF(Table1[[#This Row],[Autumn Week 1]:[Spring Week 12]],"&gt;0",Table1[[#This Row],[Autumn Week 1]:[Spring Week 12]])</f>
        <v>0.05</v>
      </c>
      <c r="AL68" s="4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86</v>
      </c>
      <c r="B69" s="48" t="str">
        <f>_xlfn.XLOOKUP(Table1[[#This Row],[Module Code]],Table2[Module Code],Table2[Module Title])</f>
        <v>Astrophysics in Action: Real-world problem solving</v>
      </c>
      <c r="C69" s="43">
        <f>INDEX(Table2[CA weight],MATCH(Table1[[#This Row],[Module Code]],Table2[Module Code],0))</f>
        <v>100</v>
      </c>
      <c r="D69" s="43">
        <f>INDEX(Table2[Credits],MATCH(Table1[[#This Row],[Module Code]],Table2[Module Code],0))</f>
        <v>10</v>
      </c>
      <c r="E69" s="12" t="s">
        <v>110</v>
      </c>
      <c r="F69" s="12" t="s">
        <v>197</v>
      </c>
      <c r="G69" s="11" t="s">
        <v>214</v>
      </c>
      <c r="H69" s="11" t="s">
        <v>291</v>
      </c>
      <c r="I69" s="11">
        <v>9</v>
      </c>
      <c r="J69" s="44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47">
        <f>SUMIF(Table1[[#This Row],[Autumn Week 1]:[Spring Week 12]],"&gt;0",Table1[[#This Row],[Autumn Week 1]:[Spring Week 12]])</f>
        <v>0.1</v>
      </c>
      <c r="AL69" s="47">
        <f>IF(Table1[[#This Row],[Hours]]&gt;0,Table1[[#This Row],[Hours]],Table1[[#This Row],[Nominal Hours]])*COUNTIF(Table1[[#This Row],[Autumn Week 1]:[Spring Week 12]],"&gt;0")</f>
        <v>4</v>
      </c>
    </row>
    <row r="70" spans="1:38" ht="27">
      <c r="A70" s="4" t="s">
        <v>1</v>
      </c>
      <c r="B70" s="48" t="str">
        <f>_xlfn.XLOOKUP(Table1[[#This Row],[Module Code]],Table2[Module Code],Table2[Module Title])</f>
        <v>Atomic and Nuclear Physics</v>
      </c>
      <c r="C70" s="43">
        <f>INDEX(Table2[CA weight],MATCH(Table1[[#This Row],[Module Code]],Table2[Module Code],0))</f>
        <v>20</v>
      </c>
      <c r="D70" s="43">
        <f>INDEX(Table2[Credits],MATCH(Table1[[#This Row],[Module Code]],Table2[Module Code],0))</f>
        <v>20</v>
      </c>
      <c r="E70" s="11" t="s">
        <v>114</v>
      </c>
      <c r="F70" s="33" t="s">
        <v>264</v>
      </c>
      <c r="G70" s="11" t="s">
        <v>209</v>
      </c>
      <c r="H70" s="11" t="s">
        <v>375</v>
      </c>
      <c r="I70" s="11">
        <v>1</v>
      </c>
      <c r="J70" s="44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47">
        <f>SUMIF(Table1[[#This Row],[Autumn Week 1]:[Spring Week 12]],"&gt;0",Table1[[#This Row],[Autumn Week 1]:[Spring Week 12]])</f>
        <v>0.09</v>
      </c>
      <c r="AL70" s="47">
        <f>IF(Table1[[#This Row],[Hours]]&gt;0,Table1[[#This Row],[Hours]],Table1[[#This Row],[Nominal Hours]])*COUNTIF(Table1[[#This Row],[Autumn Week 1]:[Spring Week 12]],"&gt;0")</f>
        <v>4.5</v>
      </c>
    </row>
    <row r="71" spans="1:38" ht="67.5">
      <c r="A71" s="4" t="s">
        <v>1</v>
      </c>
      <c r="B71" s="48" t="str">
        <f>_xlfn.XLOOKUP(Table1[[#This Row],[Module Code]],Table2[Module Code],Table2[Module Title])</f>
        <v>Atomic and Nuclear Physics</v>
      </c>
      <c r="C71" s="43">
        <f>INDEX(Table2[CA weight],MATCH(Table1[[#This Row],[Module Code]],Table2[Module Code],0))</f>
        <v>20</v>
      </c>
      <c r="D71" s="43">
        <f>INDEX(Table2[Credits],MATCH(Table1[[#This Row],[Module Code]],Table2[Module Code],0))</f>
        <v>20</v>
      </c>
      <c r="E71" s="11" t="s">
        <v>263</v>
      </c>
      <c r="F71" s="33" t="s">
        <v>280</v>
      </c>
      <c r="G71" s="11" t="s">
        <v>214</v>
      </c>
      <c r="H71" s="11" t="s">
        <v>285</v>
      </c>
      <c r="I71" s="11">
        <v>1</v>
      </c>
      <c r="J71" s="44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47">
        <f>SUMIF(Table1[[#This Row],[Autumn Week 1]:[Spring Week 12]],"&gt;0",Table1[[#This Row],[Autumn Week 1]:[Spring Week 12]])</f>
        <v>0.1</v>
      </c>
      <c r="AL71" s="4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48" t="str">
        <f>_xlfn.XLOOKUP(Table1[[#This Row],[Module Code]],Table2[Module Code],Table2[Module Title])</f>
        <v>Atomic and Nuclear Physics</v>
      </c>
      <c r="C72" s="43">
        <f>INDEX(Table2[CA weight],MATCH(Table1[[#This Row],[Module Code]],Table2[Module Code],0))</f>
        <v>20</v>
      </c>
      <c r="D72" s="43">
        <f>INDEX(Table2[Credits],MATCH(Table1[[#This Row],[Module Code]],Table2[Module Code],0))</f>
        <v>20</v>
      </c>
      <c r="E72" s="11" t="s">
        <v>5</v>
      </c>
      <c r="F72" s="11" t="s">
        <v>195</v>
      </c>
      <c r="G72" s="11" t="s">
        <v>214</v>
      </c>
      <c r="H72" s="11" t="s">
        <v>285</v>
      </c>
      <c r="I72" s="11">
        <v>4</v>
      </c>
      <c r="J72" s="44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47">
        <f>SUMIF(Table1[[#This Row],[Autumn Week 1]:[Spring Week 12]],"&gt;0",Table1[[#This Row],[Autumn Week 1]:[Spring Week 12]])</f>
        <v>0.1</v>
      </c>
      <c r="AL72" s="47">
        <f>IF(Table1[[#This Row],[Hours]]&gt;0,Table1[[#This Row],[Hours]],Table1[[#This Row],[Nominal Hours]])*COUNTIF(Table1[[#This Row],[Autumn Week 1]:[Spring Week 12]],"&gt;0")</f>
        <v>8</v>
      </c>
    </row>
    <row r="73" spans="1:38" ht="40.5">
      <c r="A73" s="4" t="s">
        <v>233</v>
      </c>
      <c r="B73" s="48" t="str">
        <f>_xlfn.XLOOKUP(Table1[[#This Row],[Module Code]],Table2[Module Code],Table2[Module Title])</f>
        <v>Solid State Physics</v>
      </c>
      <c r="C73" s="43">
        <f>INDEX(Table2[CA weight],MATCH(Table1[[#This Row],[Module Code]],Table2[Module Code],0))</f>
        <v>30</v>
      </c>
      <c r="D73" s="43">
        <f>INDEX(Table2[Credits],MATCH(Table1[[#This Row],[Module Code]],Table2[Module Code],0))</f>
        <v>10</v>
      </c>
      <c r="E73" s="11" t="s">
        <v>114</v>
      </c>
      <c r="F73" s="33" t="s">
        <v>366</v>
      </c>
      <c r="G73" s="11" t="s">
        <v>214</v>
      </c>
      <c r="H73" s="11" t="s">
        <v>291</v>
      </c>
      <c r="I73" s="13">
        <v>1</v>
      </c>
      <c r="J73" s="44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47">
        <f>SUMIF(Table1[[#This Row],[Autumn Week 1]:[Spring Week 12]],"&gt;0",Table1[[#This Row],[Autumn Week 1]:[Spring Week 12]])</f>
        <v>0.3</v>
      </c>
      <c r="AL73" s="4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7</v>
      </c>
      <c r="B74" s="48" t="str">
        <f>_xlfn.XLOOKUP(Table1[[#This Row],[Module Code]],Table2[Module Code],Table2[Module Title])</f>
        <v>Computational Physics</v>
      </c>
      <c r="C74" s="43">
        <f>INDEX(Table2[CA weight],MATCH(Table1[[#This Row],[Module Code]],Table2[Module Code],0))</f>
        <v>100</v>
      </c>
      <c r="D74" s="43">
        <f>INDEX(Table2[Credits],MATCH(Table1[[#This Row],[Module Code]],Table2[Module Code],0))</f>
        <v>10</v>
      </c>
      <c r="E74" s="11" t="s">
        <v>114</v>
      </c>
      <c r="F74" s="11" t="s">
        <v>281</v>
      </c>
      <c r="G74" s="11" t="s">
        <v>209</v>
      </c>
      <c r="H74" s="11" t="s">
        <v>375</v>
      </c>
      <c r="I74" s="11">
        <v>1</v>
      </c>
      <c r="J74" s="44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47">
        <f>SUMIF(Table1[[#This Row],[Autumn Week 1]:[Spring Week 12]],"&gt;0",Table1[[#This Row],[Autumn Week 1]:[Spring Week 12]])</f>
        <v>0.5</v>
      </c>
      <c r="AL74" s="4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7</v>
      </c>
      <c r="B75" s="48" t="str">
        <f>_xlfn.XLOOKUP(Table1[[#This Row],[Module Code]],Table2[Module Code],Table2[Module Title])</f>
        <v>Computational Physics</v>
      </c>
      <c r="C75" s="43">
        <f>INDEX(Table2[CA weight],MATCH(Table1[[#This Row],[Module Code]],Table2[Module Code],0))</f>
        <v>100</v>
      </c>
      <c r="D75" s="43">
        <f>INDEX(Table2[Credits],MATCH(Table1[[#This Row],[Module Code]],Table2[Module Code],0))</f>
        <v>10</v>
      </c>
      <c r="E75" s="11" t="s">
        <v>111</v>
      </c>
      <c r="F75" s="11" t="s">
        <v>265</v>
      </c>
      <c r="G75" s="11" t="s">
        <v>214</v>
      </c>
      <c r="H75" s="11" t="s">
        <v>331</v>
      </c>
      <c r="I75" s="11">
        <v>1</v>
      </c>
      <c r="J75" s="44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47">
        <f>SUMIF(Table1[[#This Row],[Autumn Week 1]:[Spring Week 12]],"&gt;0",Table1[[#This Row],[Autumn Week 1]:[Spring Week 12]])</f>
        <v>0.2</v>
      </c>
      <c r="AL75" s="4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7</v>
      </c>
      <c r="B76" s="48" t="str">
        <f>_xlfn.XLOOKUP(Table1[[#This Row],[Module Code]],Table2[Module Code],Table2[Module Title])</f>
        <v>Computational Physics</v>
      </c>
      <c r="C76" s="43">
        <f>INDEX(Table2[CA weight],MATCH(Table1[[#This Row],[Module Code]],Table2[Module Code],0))</f>
        <v>100</v>
      </c>
      <c r="D76" s="43">
        <f>INDEX(Table2[Credits],MATCH(Table1[[#This Row],[Module Code]],Table2[Module Code],0))</f>
        <v>10</v>
      </c>
      <c r="E76" s="11" t="s">
        <v>5</v>
      </c>
      <c r="F76" s="11" t="s">
        <v>301</v>
      </c>
      <c r="G76" s="11" t="s">
        <v>214</v>
      </c>
      <c r="H76" s="11" t="s">
        <v>331</v>
      </c>
      <c r="I76" s="11">
        <v>4</v>
      </c>
      <c r="J76" s="44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47">
        <f>SUMIF(Table1[[#This Row],[Autumn Week 1]:[Spring Week 12]],"&gt;0",Table1[[#This Row],[Autumn Week 1]:[Spring Week 12]])</f>
        <v>0.35</v>
      </c>
      <c r="AL76" s="4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7</v>
      </c>
      <c r="B77" s="48" t="str">
        <f>_xlfn.XLOOKUP(Table1[[#This Row],[Module Code]],Table2[Module Code],Table2[Module Title])</f>
        <v>Computational Physics</v>
      </c>
      <c r="C77" s="43">
        <f>INDEX(Table2[CA weight],MATCH(Table1[[#This Row],[Module Code]],Table2[Module Code],0))</f>
        <v>100</v>
      </c>
      <c r="D77" s="43">
        <f>INDEX(Table2[Credits],MATCH(Table1[[#This Row],[Module Code]],Table2[Module Code],0))</f>
        <v>10</v>
      </c>
      <c r="E77" s="11" t="s">
        <v>5</v>
      </c>
      <c r="F77" s="11" t="s">
        <v>303</v>
      </c>
      <c r="G77" s="11" t="s">
        <v>214</v>
      </c>
      <c r="H77" s="11" t="s">
        <v>331</v>
      </c>
      <c r="I77" s="11">
        <v>4</v>
      </c>
      <c r="J77" s="44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47">
        <f>SUMIF(Table1[[#This Row],[Autumn Week 1]:[Spring Week 12]],"&gt;0",Table1[[#This Row],[Autumn Week 1]:[Spring Week 12]])</f>
        <v>0.45</v>
      </c>
      <c r="AL77" s="4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9</v>
      </c>
      <c r="B78" s="48" t="str">
        <f>_xlfn.XLOOKUP(Table1[[#This Row],[Module Code]],Table2[Module Code],Table2[Module Title])</f>
        <v>Formation and Evolution of Stars</v>
      </c>
      <c r="C78" s="43">
        <f>INDEX(Table2[CA weight],MATCH(Table1[[#This Row],[Module Code]],Table2[Module Code],0))</f>
        <v>20</v>
      </c>
      <c r="D78" s="43">
        <f>INDEX(Table2[Credits],MATCH(Table1[[#This Row],[Module Code]],Table2[Module Code],0))</f>
        <v>10</v>
      </c>
      <c r="E78" s="11" t="s">
        <v>5</v>
      </c>
      <c r="F78" s="11" t="s">
        <v>365</v>
      </c>
      <c r="G78" s="11" t="s">
        <v>214</v>
      </c>
      <c r="H78" s="11" t="s">
        <v>285</v>
      </c>
      <c r="I78" s="11">
        <v>4</v>
      </c>
      <c r="J78" s="44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47">
        <f>SUMIF(Table1[[#This Row],[Autumn Week 1]:[Spring Week 12]],"&gt;0",Table1[[#This Row],[Autumn Week 1]:[Spring Week 12]])</f>
        <v>0</v>
      </c>
      <c r="AL78" s="4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9</v>
      </c>
      <c r="B79" s="48" t="str">
        <f>_xlfn.XLOOKUP(Table1[[#This Row],[Module Code]],Table2[Module Code],Table2[Module Title])</f>
        <v>Formation and Evolution of Stars</v>
      </c>
      <c r="C79" s="43">
        <f>INDEX(Table2[CA weight],MATCH(Table1[[#This Row],[Module Code]],Table2[Module Code],0))</f>
        <v>20</v>
      </c>
      <c r="D79" s="43">
        <f>INDEX(Table2[Credits],MATCH(Table1[[#This Row],[Module Code]],Table2[Module Code],0))</f>
        <v>10</v>
      </c>
      <c r="E79" s="11" t="s">
        <v>5</v>
      </c>
      <c r="F79" s="11" t="s">
        <v>195</v>
      </c>
      <c r="G79" s="11" t="s">
        <v>214</v>
      </c>
      <c r="H79" s="11" t="s">
        <v>285</v>
      </c>
      <c r="I79" s="11">
        <v>2</v>
      </c>
      <c r="J79" s="44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47">
        <f>SUMIF(Table1[[#This Row],[Autumn Week 1]:[Spring Week 12]],"&gt;0",Table1[[#This Row],[Autumn Week 1]:[Spring Week 12]])</f>
        <v>0.2</v>
      </c>
      <c r="AL79" s="4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12</v>
      </c>
      <c r="B80" s="48" t="str">
        <f>_xlfn.XLOOKUP(Table1[[#This Row],[Module Code]],Table2[Module Code],Table2[Module Title])</f>
        <v>Environmental Physics</v>
      </c>
      <c r="C80" s="43">
        <f>INDEX(Table2[CA weight],MATCH(Table1[[#This Row],[Module Code]],Table2[Module Code],0))</f>
        <v>100</v>
      </c>
      <c r="D80" s="43">
        <f>INDEX(Table2[Credits],MATCH(Table1[[#This Row],[Module Code]],Table2[Module Code],0))</f>
        <v>10</v>
      </c>
      <c r="E80" s="11" t="s">
        <v>5</v>
      </c>
      <c r="F80" s="11" t="s">
        <v>200</v>
      </c>
      <c r="G80" s="11" t="s">
        <v>214</v>
      </c>
      <c r="H80" s="11" t="s">
        <v>291</v>
      </c>
      <c r="I80" s="11">
        <v>1</v>
      </c>
      <c r="J80" s="44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47">
        <f>SUMIF(Table1[[#This Row],[Autumn Week 1]:[Spring Week 12]],"&gt;0",Table1[[#This Row],[Autumn Week 1]:[Spring Week 12]])</f>
        <v>0.75</v>
      </c>
      <c r="AL80" s="4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12</v>
      </c>
      <c r="B81" s="48" t="str">
        <f>_xlfn.XLOOKUP(Table1[[#This Row],[Module Code]],Table2[Module Code],Table2[Module Title])</f>
        <v>Environmental Physics</v>
      </c>
      <c r="C81" s="43">
        <f>INDEX(Table2[CA weight],MATCH(Table1[[#This Row],[Module Code]],Table2[Module Code],0))</f>
        <v>100</v>
      </c>
      <c r="D81" s="43">
        <f>INDEX(Table2[Credits],MATCH(Table1[[#This Row],[Module Code]],Table2[Module Code],0))</f>
        <v>10</v>
      </c>
      <c r="E81" s="11" t="s">
        <v>114</v>
      </c>
      <c r="F81" s="11" t="s">
        <v>246</v>
      </c>
      <c r="G81" s="11" t="s">
        <v>214</v>
      </c>
      <c r="H81" s="11" t="s">
        <v>291</v>
      </c>
      <c r="I81" s="11">
        <v>1</v>
      </c>
      <c r="J81" s="44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47">
        <f>SUMIF(Table1[[#This Row],[Autumn Week 1]:[Spring Week 12]],"&gt;0",Table1[[#This Row],[Autumn Week 1]:[Spring Week 12]])</f>
        <v>0.1</v>
      </c>
      <c r="AL81" s="4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12</v>
      </c>
      <c r="B82" s="48" t="str">
        <f>_xlfn.XLOOKUP(Table1[[#This Row],[Module Code]],Table2[Module Code],Table2[Module Title])</f>
        <v>Environmental Physics</v>
      </c>
      <c r="C82" s="43">
        <f>INDEX(Table2[CA weight],MATCH(Table1[[#This Row],[Module Code]],Table2[Module Code],0))</f>
        <v>100</v>
      </c>
      <c r="D82" s="43">
        <f>INDEX(Table2[Credits],MATCH(Table1[[#This Row],[Module Code]],Table2[Module Code],0))</f>
        <v>10</v>
      </c>
      <c r="E82" s="11" t="s">
        <v>110</v>
      </c>
      <c r="F82" s="11" t="s">
        <v>197</v>
      </c>
      <c r="G82" s="11" t="s">
        <v>214</v>
      </c>
      <c r="H82" s="11" t="s">
        <v>331</v>
      </c>
      <c r="I82" s="11">
        <v>5</v>
      </c>
      <c r="J82" s="44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47">
        <f>SUMIF(Table1[[#This Row],[Autumn Week 1]:[Spring Week 12]],"&gt;0",Table1[[#This Row],[Autumn Week 1]:[Spring Week 12]])</f>
        <v>0.15</v>
      </c>
      <c r="AL82" s="4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13</v>
      </c>
      <c r="B83" s="48" t="str">
        <f>_xlfn.XLOOKUP(Table1[[#This Row],[Module Code]],Table2[Module Code],Table2[Module Title])</f>
        <v>Introduction to Magnetic Resonance Imaging</v>
      </c>
      <c r="C83" s="43">
        <f>INDEX(Table2[CA weight],MATCH(Table1[[#This Row],[Module Code]],Table2[Module Code],0))</f>
        <v>100</v>
      </c>
      <c r="D83" s="43">
        <f>INDEX(Table2[Credits],MATCH(Table1[[#This Row],[Module Code]],Table2[Module Code],0))</f>
        <v>10</v>
      </c>
      <c r="E83" s="11" t="s">
        <v>114</v>
      </c>
      <c r="F83" s="11" t="s">
        <v>281</v>
      </c>
      <c r="G83" s="11" t="s">
        <v>209</v>
      </c>
      <c r="H83" s="11" t="s">
        <v>357</v>
      </c>
      <c r="I83" s="11">
        <v>1</v>
      </c>
      <c r="J83" s="44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47">
        <f>SUMIF(Table1[[#This Row],[Autumn Week 1]:[Spring Week 12]],"&gt;0",Table1[[#This Row],[Autumn Week 1]:[Spring Week 12]])</f>
        <v>0.42500000000000004</v>
      </c>
      <c r="AL83" s="4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13</v>
      </c>
      <c r="B84" s="48" t="str">
        <f>_xlfn.XLOOKUP(Table1[[#This Row],[Module Code]],Table2[Module Code],Table2[Module Title])</f>
        <v>Introduction to Magnetic Resonance Imaging</v>
      </c>
      <c r="C84" s="43">
        <f>INDEX(Table2[CA weight],MATCH(Table1[[#This Row],[Module Code]],Table2[Module Code],0))</f>
        <v>100</v>
      </c>
      <c r="D84" s="43">
        <f>INDEX(Table2[Credits],MATCH(Table1[[#This Row],[Module Code]],Table2[Module Code],0))</f>
        <v>10</v>
      </c>
      <c r="E84" s="11" t="s">
        <v>111</v>
      </c>
      <c r="F84" s="11" t="s">
        <v>265</v>
      </c>
      <c r="G84" s="11" t="s">
        <v>214</v>
      </c>
      <c r="H84" s="11" t="s">
        <v>285</v>
      </c>
      <c r="I84" s="11">
        <v>1</v>
      </c>
      <c r="J84" s="44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47">
        <f>SUMIF(Table1[[#This Row],[Autumn Week 1]:[Spring Week 12]],"&gt;0",Table1[[#This Row],[Autumn Week 1]:[Spring Week 12]])</f>
        <v>0.2</v>
      </c>
      <c r="AL84" s="4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13</v>
      </c>
      <c r="B85" s="48" t="str">
        <f>_xlfn.XLOOKUP(Table1[[#This Row],[Module Code]],Table2[Module Code],Table2[Module Title])</f>
        <v>Introduction to Magnetic Resonance Imaging</v>
      </c>
      <c r="C85" s="43">
        <f>INDEX(Table2[CA weight],MATCH(Table1[[#This Row],[Module Code]],Table2[Module Code],0))</f>
        <v>100</v>
      </c>
      <c r="D85" s="43">
        <f>INDEX(Table2[Credits],MATCH(Table1[[#This Row],[Module Code]],Table2[Module Code],0))</f>
        <v>10</v>
      </c>
      <c r="E85" s="11" t="s">
        <v>5</v>
      </c>
      <c r="F85" s="11" t="s">
        <v>301</v>
      </c>
      <c r="G85" s="11" t="s">
        <v>214</v>
      </c>
      <c r="H85" s="11" t="s">
        <v>285</v>
      </c>
      <c r="I85" s="11">
        <v>4</v>
      </c>
      <c r="J85" s="44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47">
        <f>SUMIF(Table1[[#This Row],[Autumn Week 1]:[Spring Week 12]],"&gt;0",Table1[[#This Row],[Autumn Week 1]:[Spring Week 12]])</f>
        <v>0.35</v>
      </c>
      <c r="AL85" s="4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13</v>
      </c>
      <c r="B86" s="48" t="str">
        <f>_xlfn.XLOOKUP(Table1[[#This Row],[Module Code]],Table2[Module Code],Table2[Module Title])</f>
        <v>Introduction to Magnetic Resonance Imaging</v>
      </c>
      <c r="C86" s="43">
        <f>INDEX(Table2[CA weight],MATCH(Table1[[#This Row],[Module Code]],Table2[Module Code],0))</f>
        <v>100</v>
      </c>
      <c r="D86" s="43">
        <f>INDEX(Table2[Credits],MATCH(Table1[[#This Row],[Module Code]],Table2[Module Code],0))</f>
        <v>10</v>
      </c>
      <c r="E86" s="11" t="s">
        <v>5</v>
      </c>
      <c r="F86" s="11" t="s">
        <v>303</v>
      </c>
      <c r="G86" s="11" t="s">
        <v>214</v>
      </c>
      <c r="H86" s="11" t="s">
        <v>285</v>
      </c>
      <c r="I86" s="11">
        <v>4</v>
      </c>
      <c r="J86" s="44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47">
        <f>SUMIF(Table1[[#This Row],[Autumn Week 1]:[Spring Week 12]],"&gt;0",Table1[[#This Row],[Autumn Week 1]:[Spring Week 12]])</f>
        <v>0.45</v>
      </c>
      <c r="AL86" s="47">
        <f>IF(Table1[[#This Row],[Hours]]&gt;0,Table1[[#This Row],[Hours]],Table1[[#This Row],[Nominal Hours]])*COUNTIF(Table1[[#This Row],[Autumn Week 1]:[Spring Week 12]],"&gt;0")</f>
        <v>18</v>
      </c>
    </row>
    <row r="87" spans="1:38" ht="54">
      <c r="A87" s="4" t="s">
        <v>14</v>
      </c>
      <c r="B87" s="48" t="str">
        <f>_xlfn.XLOOKUP(Table1[[#This Row],[Module Code]],Table2[Module Code],Table2[Module Title])</f>
        <v>Galaxies and Galaxy Evolution</v>
      </c>
      <c r="C87" s="43">
        <f>INDEX(Table2[CA weight],MATCH(Table1[[#This Row],[Module Code]],Table2[Module Code],0))</f>
        <v>30</v>
      </c>
      <c r="D87" s="43">
        <f>INDEX(Table2[Credits],MATCH(Table1[[#This Row],[Module Code]],Table2[Module Code],0))</f>
        <v>10</v>
      </c>
      <c r="E87" s="11" t="s">
        <v>114</v>
      </c>
      <c r="F87" s="33" t="s">
        <v>270</v>
      </c>
      <c r="G87" s="11" t="s">
        <v>214</v>
      </c>
      <c r="H87" s="11" t="s">
        <v>285</v>
      </c>
      <c r="I87" s="13">
        <v>1</v>
      </c>
      <c r="J87" s="44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47">
        <f>SUMIF(Table1[[#This Row],[Autumn Week 1]:[Spring Week 12]],"&gt;0",Table1[[#This Row],[Autumn Week 1]:[Spring Week 12]])</f>
        <v>9.9999999999999992E-2</v>
      </c>
      <c r="AL87" s="4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14</v>
      </c>
      <c r="B88" s="48" t="str">
        <f>_xlfn.XLOOKUP(Table1[[#This Row],[Module Code]],Table2[Module Code],Table2[Module Title])</f>
        <v>Galaxies and Galaxy Evolution</v>
      </c>
      <c r="C88" s="45">
        <f>INDEX(Table2[CA weight],MATCH(Table1[[#This Row],[Module Code]],Table2[Module Code],0))</f>
        <v>30</v>
      </c>
      <c r="D88" s="45">
        <f>INDEX(Table2[Credits],MATCH(Table1[[#This Row],[Module Code]],Table2[Module Code],0))</f>
        <v>10</v>
      </c>
      <c r="E88" s="13" t="s">
        <v>5</v>
      </c>
      <c r="F88" s="13" t="s">
        <v>195</v>
      </c>
      <c r="G88" s="11" t="s">
        <v>214</v>
      </c>
      <c r="H88" s="11" t="s">
        <v>285</v>
      </c>
      <c r="I88" s="13">
        <v>4</v>
      </c>
      <c r="J88" s="44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47">
        <f>SUMIF(Table1[[#This Row],[Autumn Week 1]:[Spring Week 12]],"&gt;0",Table1[[#This Row],[Autumn Week 1]:[Spring Week 12]])</f>
        <v>0.2</v>
      </c>
      <c r="AL88" s="47">
        <f>IF(Table1[[#This Row],[Hours]]&gt;0,Table1[[#This Row],[Hours]],Table1[[#This Row],[Nominal Hours]])*COUNTIF(Table1[[#This Row],[Autumn Week 1]:[Spring Week 12]],"&gt;0")</f>
        <v>8</v>
      </c>
    </row>
    <row r="89" spans="1:38" ht="40.5">
      <c r="A89" s="4" t="s">
        <v>16</v>
      </c>
      <c r="B89" s="48" t="str">
        <f>_xlfn.XLOOKUP(Table1[[#This Row],[Module Code]],Table2[Module Code],Table2[Module Title])</f>
        <v>Theoretical Physics</v>
      </c>
      <c r="C89" s="43">
        <f>INDEX(Table2[CA weight],MATCH(Table1[[#This Row],[Module Code]],Table2[Module Code],0))</f>
        <v>30</v>
      </c>
      <c r="D89" s="43">
        <f>INDEX(Table2[Credits],MATCH(Table1[[#This Row],[Module Code]],Table2[Module Code],0))</f>
        <v>10</v>
      </c>
      <c r="E89" s="11" t="s">
        <v>114</v>
      </c>
      <c r="F89" s="33" t="s">
        <v>267</v>
      </c>
      <c r="G89" s="11" t="s">
        <v>214</v>
      </c>
      <c r="H89" s="11" t="s">
        <v>291</v>
      </c>
      <c r="I89" s="11">
        <v>1</v>
      </c>
      <c r="J89" s="44">
        <f>IFERROR(AVERAGEIF(Table1[[#This Row],[Autumn Week 1]:[Spring Exams]],"&gt;0",Table1[[#This Row],[Autumn Week 1]:[Spring Exams]])*4*Table1[[#This Row],[Credits]],0)</f>
        <v>1.2</v>
      </c>
      <c r="K89" s="11"/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47">
        <f>SUMIF(Table1[[#This Row],[Autumn Week 1]:[Spring Week 12]],"&gt;0",Table1[[#This Row],[Autumn Week 1]:[Spring Week 12]])</f>
        <v>0.15</v>
      </c>
      <c r="AL89" s="47">
        <f>IF(Table1[[#This Row],[Hours]]&gt;0,Table1[[#This Row],[Hours]],Table1[[#This Row],[Nominal Hours]])*COUNTIF(Table1[[#This Row],[Autumn Week 1]:[Spring Week 12]],"&gt;0")</f>
        <v>6</v>
      </c>
    </row>
    <row r="90" spans="1:38" ht="40.5">
      <c r="A90" s="4" t="s">
        <v>16</v>
      </c>
      <c r="B90" s="48" t="str">
        <f>_xlfn.XLOOKUP(Table1[[#This Row],[Module Code]],Table2[Module Code],Table2[Module Title])</f>
        <v>Theoretical Physics</v>
      </c>
      <c r="C90" s="43">
        <f>INDEX(Table2[CA weight],MATCH(Table1[[#This Row],[Module Code]],Table2[Module Code],0))</f>
        <v>30</v>
      </c>
      <c r="D90" s="43">
        <f>INDEX(Table2[Credits],MATCH(Table1[[#This Row],[Module Code]],Table2[Module Code],0))</f>
        <v>10</v>
      </c>
      <c r="E90" s="11" t="s">
        <v>114</v>
      </c>
      <c r="F90" s="33" t="s">
        <v>267</v>
      </c>
      <c r="G90" s="11" t="s">
        <v>214</v>
      </c>
      <c r="H90" s="11" t="s">
        <v>291</v>
      </c>
      <c r="I90" s="11">
        <v>1</v>
      </c>
      <c r="J90" s="44">
        <f>IFERROR(AVERAGEIF(Table1[[#This Row],[Autumn Week 1]:[Spring Exams]],"&gt;0",Table1[[#This Row],[Autumn Week 1]:[Spring Exams]])*4*Table1[[#This Row],[Credits]],0)</f>
        <v>1.2</v>
      </c>
      <c r="K90" s="11"/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47">
        <f>SUMIF(Table1[[#This Row],[Autumn Week 1]:[Spring Week 12]],"&gt;0",Table1[[#This Row],[Autumn Week 1]:[Spring Week 12]])</f>
        <v>0.15</v>
      </c>
      <c r="AL90" s="47">
        <f>IF(Table1[[#This Row],[Hours]]&gt;0,Table1[[#This Row],[Hours]],Table1[[#This Row],[Nominal Hours]])*COUNTIF(Table1[[#This Row],[Autumn Week 1]:[Spring Week 12]],"&gt;0")</f>
        <v>6</v>
      </c>
    </row>
    <row r="91" spans="1:38">
      <c r="A91" s="4" t="s">
        <v>22</v>
      </c>
      <c r="B91" s="48" t="str">
        <f>_xlfn.XLOOKUP(Table1[[#This Row],[Module Code]],Table2[Module Code],Table2[Module Title])</f>
        <v>Science Communication</v>
      </c>
      <c r="C91" s="43">
        <f>INDEX(Table2[CA weight],MATCH(Table1[[#This Row],[Module Code]],Table2[Module Code],0))</f>
        <v>100</v>
      </c>
      <c r="D91" s="43">
        <f>INDEX(Table2[Credits],MATCH(Table1[[#This Row],[Module Code]],Table2[Module Code],0))</f>
        <v>10</v>
      </c>
      <c r="E91" s="11" t="s">
        <v>110</v>
      </c>
      <c r="F91" s="11" t="s">
        <v>353</v>
      </c>
      <c r="G91" s="11" t="s">
        <v>214</v>
      </c>
      <c r="H91" s="11" t="s">
        <v>285</v>
      </c>
      <c r="I91" s="11">
        <v>3</v>
      </c>
      <c r="J91" s="44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47">
        <f>SUMIF(Table1[[#This Row],[Autumn Week 1]:[Spring Week 12]],"&gt;0",Table1[[#This Row],[Autumn Week 1]:[Spring Week 12]])</f>
        <v>0.2</v>
      </c>
      <c r="AL91" s="4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22</v>
      </c>
      <c r="B92" s="48" t="str">
        <f>_xlfn.XLOOKUP(Table1[[#This Row],[Module Code]],Table2[Module Code],Table2[Module Title])</f>
        <v>Science Communication</v>
      </c>
      <c r="C92" s="43">
        <f>INDEX(Table2[CA weight],MATCH(Table1[[#This Row],[Module Code]],Table2[Module Code],0))</f>
        <v>100</v>
      </c>
      <c r="D92" s="43">
        <f>INDEX(Table2[Credits],MATCH(Table1[[#This Row],[Module Code]],Table2[Module Code],0))</f>
        <v>10</v>
      </c>
      <c r="E92" s="11" t="s">
        <v>110</v>
      </c>
      <c r="F92" s="11" t="s">
        <v>354</v>
      </c>
      <c r="G92" s="11" t="s">
        <v>214</v>
      </c>
      <c r="H92" s="11" t="s">
        <v>307</v>
      </c>
      <c r="I92" s="11">
        <v>2</v>
      </c>
      <c r="J92" s="44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47">
        <f>SUMIF(Table1[[#This Row],[Autumn Week 1]:[Spring Week 12]],"&gt;0",Table1[[#This Row],[Autumn Week 1]:[Spring Week 12]])</f>
        <v>0.2</v>
      </c>
      <c r="AL92" s="4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22</v>
      </c>
      <c r="B93" s="48" t="str">
        <f>_xlfn.XLOOKUP(Table1[[#This Row],[Module Code]],Table2[Module Code],Table2[Module Title])</f>
        <v>Science Communication</v>
      </c>
      <c r="C93" s="43">
        <f>INDEX(Table2[CA weight],MATCH(Table1[[#This Row],[Module Code]],Table2[Module Code],0))</f>
        <v>100</v>
      </c>
      <c r="D93" s="43">
        <f>INDEX(Table2[Credits],MATCH(Table1[[#This Row],[Module Code]],Table2[Module Code],0))</f>
        <v>10</v>
      </c>
      <c r="E93" s="11" t="s">
        <v>5</v>
      </c>
      <c r="F93" s="11" t="s">
        <v>355</v>
      </c>
      <c r="G93" s="11" t="s">
        <v>214</v>
      </c>
      <c r="H93" s="11" t="s">
        <v>307</v>
      </c>
      <c r="I93" s="11">
        <v>4</v>
      </c>
      <c r="J93" s="44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47">
        <f>SUMIF(Table1[[#This Row],[Autumn Week 1]:[Spring Week 12]],"&gt;0",Table1[[#This Row],[Autumn Week 1]:[Spring Week 12]])</f>
        <v>0.2</v>
      </c>
      <c r="AL93" s="4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22</v>
      </c>
      <c r="B94" s="48" t="str">
        <f>_xlfn.XLOOKUP(Table1[[#This Row],[Module Code]],Table2[Module Code],Table2[Module Title])</f>
        <v>Science Communication</v>
      </c>
      <c r="C94" s="43">
        <f>INDEX(Table2[CA weight],MATCH(Table1[[#This Row],[Module Code]],Table2[Module Code],0))</f>
        <v>100</v>
      </c>
      <c r="D94" s="43">
        <f>INDEX(Table2[Credits],MATCH(Table1[[#This Row],[Module Code]],Table2[Module Code],0))</f>
        <v>10</v>
      </c>
      <c r="E94" s="11" t="s">
        <v>111</v>
      </c>
      <c r="F94" s="11" t="s">
        <v>356</v>
      </c>
      <c r="G94" s="11" t="s">
        <v>214</v>
      </c>
      <c r="H94" s="11" t="s">
        <v>285</v>
      </c>
      <c r="I94" s="11">
        <v>11</v>
      </c>
      <c r="J94" s="44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47">
        <f>SUMIF(Table1[[#This Row],[Autumn Week 1]:[Spring Week 12]],"&gt;0",Table1[[#This Row],[Autumn Week 1]:[Spring Week 12]])</f>
        <v>0.4</v>
      </c>
      <c r="AL94" s="47">
        <f>IF(Table1[[#This Row],[Hours]]&gt;0,Table1[[#This Row],[Hours]],Table1[[#This Row],[Nominal Hours]])*COUNTIF(Table1[[#This Row],[Autumn Week 1]:[Spring Week 12]],"&gt;0")</f>
        <v>16</v>
      </c>
    </row>
    <row r="95" spans="1:38">
      <c r="A95" s="8" t="s">
        <v>19</v>
      </c>
      <c r="B95" s="48" t="str">
        <f>_xlfn.XLOOKUP(Table1[[#This Row],[Module Code]],Table2[Module Code],Table2[Module Title])</f>
        <v>Radiation Protection and Diagnostic Radiology Physics</v>
      </c>
      <c r="C95" s="43">
        <f>INDEX(Table2[CA weight],MATCH(Table1[[#This Row],[Module Code]],Table2[Module Code],0))</f>
        <v>20</v>
      </c>
      <c r="D95" s="43">
        <f>INDEX(Table2[Credits],MATCH(Table1[[#This Row],[Module Code]],Table2[Module Code],0))</f>
        <v>10</v>
      </c>
      <c r="E95" s="11" t="s">
        <v>5</v>
      </c>
      <c r="F95" s="11" t="s">
        <v>197</v>
      </c>
      <c r="G95" s="11" t="s">
        <v>214</v>
      </c>
      <c r="H95" s="11" t="s">
        <v>285</v>
      </c>
      <c r="I95" s="11">
        <v>4</v>
      </c>
      <c r="J95" s="44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47">
        <f>SUMIF(Table1[[#This Row],[Autumn Week 1]:[Spring Week 12]],"&gt;0",Table1[[#This Row],[Autumn Week 1]:[Spring Week 12]])</f>
        <v>0.1</v>
      </c>
      <c r="AL95" s="47">
        <f>IF(Table1[[#This Row],[Hours]]&gt;0,Table1[[#This Row],[Hours]],Table1[[#This Row],[Nominal Hours]])*COUNTIF(Table1[[#This Row],[Autumn Week 1]:[Spring Week 12]],"&gt;0")</f>
        <v>4</v>
      </c>
    </row>
    <row r="96" spans="1:38">
      <c r="A96" s="8" t="s">
        <v>19</v>
      </c>
      <c r="B96" s="48" t="str">
        <f>_xlfn.XLOOKUP(Table1[[#This Row],[Module Code]],Table2[Module Code],Table2[Module Title])</f>
        <v>Radiation Protection and Diagnostic Radiology Physics</v>
      </c>
      <c r="C96" s="43">
        <f>INDEX(Table2[CA weight],MATCH(Table1[[#This Row],[Module Code]],Table2[Module Code],0))</f>
        <v>20</v>
      </c>
      <c r="D96" s="43">
        <f>INDEX(Table2[Credits],MATCH(Table1[[#This Row],[Module Code]],Table2[Module Code],0))</f>
        <v>10</v>
      </c>
      <c r="E96" s="11"/>
      <c r="F96" s="11" t="s">
        <v>195</v>
      </c>
      <c r="G96" s="11" t="s">
        <v>214</v>
      </c>
      <c r="H96" s="11" t="s">
        <v>285</v>
      </c>
      <c r="I96" s="11">
        <v>4</v>
      </c>
      <c r="J96" s="44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47">
        <f>SUMIF(Table1[[#This Row],[Autumn Week 1]:[Spring Week 12]],"&gt;0",Table1[[#This Row],[Autumn Week 1]:[Spring Week 12]])</f>
        <v>0.1</v>
      </c>
      <c r="AL96" s="4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97</v>
      </c>
      <c r="B97" s="48" t="str">
        <f>_xlfn.XLOOKUP(Table1[[#This Row],[Module Code]],Table2[Module Code],Table2[Module Title])</f>
        <v>Particle Physics and Special Relativity</v>
      </c>
      <c r="C97" s="43">
        <f>INDEX(Table2[CA weight],MATCH(Table1[[#This Row],[Module Code]],Table2[Module Code],0))</f>
        <v>30</v>
      </c>
      <c r="D97" s="43">
        <f>INDEX(Table2[Credits],MATCH(Table1[[#This Row],[Module Code]],Table2[Module Code],0))</f>
        <v>20</v>
      </c>
      <c r="E97" s="11" t="s">
        <v>114</v>
      </c>
      <c r="F97" s="11" t="s">
        <v>281</v>
      </c>
      <c r="G97" s="11" t="s">
        <v>209</v>
      </c>
      <c r="H97" s="11" t="s">
        <v>375</v>
      </c>
      <c r="I97" s="11">
        <v>1</v>
      </c>
      <c r="J97" s="44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47">
        <f>SUMIF(Table1[[#This Row],[Autumn Week 1]:[Spring Week 12]],"&gt;0",Table1[[#This Row],[Autumn Week 1]:[Spring Week 12]])</f>
        <v>7.0000000000000007E-2</v>
      </c>
      <c r="AL97" s="47">
        <f>IF(Table1[[#This Row],[Hours]]&gt;0,Table1[[#This Row],[Hours]],Table1[[#This Row],[Nominal Hours]])*COUNTIF(Table1[[#This Row],[Autumn Week 1]:[Spring Week 12]],"&gt;0")</f>
        <v>5</v>
      </c>
    </row>
    <row r="98" spans="1:38" ht="54">
      <c r="A98" s="3" t="s">
        <v>97</v>
      </c>
      <c r="B98" s="48" t="str">
        <f>_xlfn.XLOOKUP(Table1[[#This Row],[Module Code]],Table2[Module Code],Table2[Module Title])</f>
        <v>Particle Physics and Special Relativity</v>
      </c>
      <c r="C98" s="43">
        <f>INDEX(Table2[CA weight],MATCH(Table1[[#This Row],[Module Code]],Table2[Module Code],0))</f>
        <v>30</v>
      </c>
      <c r="D98" s="43">
        <f>INDEX(Table2[Credits],MATCH(Table1[[#This Row],[Module Code]],Table2[Module Code],0))</f>
        <v>20</v>
      </c>
      <c r="E98" s="11" t="s">
        <v>111</v>
      </c>
      <c r="F98" s="33" t="s">
        <v>268</v>
      </c>
      <c r="G98" s="11" t="s">
        <v>214</v>
      </c>
      <c r="H98" s="11" t="s">
        <v>285</v>
      </c>
      <c r="I98" s="11">
        <v>1</v>
      </c>
      <c r="J98" s="44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47">
        <f>SUMIF(Table1[[#This Row],[Autumn Week 1]:[Spring Week 12]],"&gt;0",Table1[[#This Row],[Autumn Week 1]:[Spring Week 12]])</f>
        <v>7.0000000000000007E-2</v>
      </c>
      <c r="AL98" s="4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97</v>
      </c>
      <c r="B99" s="48" t="str">
        <f>_xlfn.XLOOKUP(Table1[[#This Row],[Module Code]],Table2[Module Code],Table2[Module Title])</f>
        <v>Particle Physics and Special Relativity</v>
      </c>
      <c r="C99" s="43">
        <f>INDEX(Table2[CA weight],MATCH(Table1[[#This Row],[Module Code]],Table2[Module Code],0))</f>
        <v>30</v>
      </c>
      <c r="D99" s="43">
        <f>INDEX(Table2[Credits],MATCH(Table1[[#This Row],[Module Code]],Table2[Module Code],0))</f>
        <v>20</v>
      </c>
      <c r="E99" s="12" t="s">
        <v>5</v>
      </c>
      <c r="F99" s="12" t="s">
        <v>195</v>
      </c>
      <c r="G99" s="11" t="s">
        <v>214</v>
      </c>
      <c r="H99" s="11" t="s">
        <v>331</v>
      </c>
      <c r="I99" s="11">
        <v>3</v>
      </c>
      <c r="J99" s="44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47">
        <f>SUMIF(Table1[[#This Row],[Autumn Week 1]:[Spring Week 12]],"&gt;0",Table1[[#This Row],[Autumn Week 1]:[Spring Week 12]])</f>
        <v>0.23</v>
      </c>
      <c r="AL99" s="4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177</v>
      </c>
      <c r="B100" s="48" t="str">
        <f>_xlfn.XLOOKUP(Table1[[#This Row],[Module Code]],Table2[Module Code],Table2[Module Title])</f>
        <v>Semiconductor Devices and Applications</v>
      </c>
      <c r="C100" s="43">
        <f>INDEX(Table2[CA weight],MATCH(Table1[[#This Row],[Module Code]],Table2[Module Code],0))</f>
        <v>20</v>
      </c>
      <c r="D100" s="43">
        <f>INDEX(Table2[Credits],MATCH(Table1[[#This Row],[Module Code]],Table2[Module Code],0))</f>
        <v>10</v>
      </c>
      <c r="E100" s="12" t="s">
        <v>5</v>
      </c>
      <c r="F100" s="12" t="s">
        <v>195</v>
      </c>
      <c r="G100" s="11" t="s">
        <v>214</v>
      </c>
      <c r="H100" s="11" t="s">
        <v>331</v>
      </c>
      <c r="I100" s="11">
        <v>6</v>
      </c>
      <c r="J100" s="44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47">
        <f>SUMIF(Table1[[#This Row],[Autumn Week 1]:[Spring Week 12]],"&gt;0",Table1[[#This Row],[Autumn Week 1]:[Spring Week 12]])</f>
        <v>0.2</v>
      </c>
      <c r="AL100" s="4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98</v>
      </c>
      <c r="B101" s="48" t="str">
        <f>_xlfn.XLOOKUP(Table1[[#This Row],[Module Code]],Table2[Module Code],Table2[Module Title])</f>
        <v>Laser Physics and Non-Linear Optics</v>
      </c>
      <c r="C101" s="43">
        <f>INDEX(Table2[CA weight],MATCH(Table1[[#This Row],[Module Code]],Table2[Module Code],0))</f>
        <v>20</v>
      </c>
      <c r="D101" s="43">
        <f>INDEX(Table2[Credits],MATCH(Table1[[#This Row],[Module Code]],Table2[Module Code],0))</f>
        <v>10</v>
      </c>
      <c r="E101" s="12" t="s">
        <v>5</v>
      </c>
      <c r="F101" s="12" t="s">
        <v>343</v>
      </c>
      <c r="G101" s="11" t="s">
        <v>214</v>
      </c>
      <c r="H101" s="11" t="s">
        <v>307</v>
      </c>
      <c r="I101" s="11">
        <v>3</v>
      </c>
      <c r="J101" s="44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47">
        <f>SUMIF(Table1[[#This Row],[Autumn Week 1]:[Spring Week 12]],"&gt;0",Table1[[#This Row],[Autumn Week 1]:[Spring Week 12]])</f>
        <v>0.04</v>
      </c>
      <c r="AL101" s="47">
        <f>IF(Table1[[#This Row],[Hours]]&gt;0,Table1[[#This Row],[Hours]],Table1[[#This Row],[Nominal Hours]])*COUNTIF(Table1[[#This Row],[Autumn Week 1]:[Spring Week 12]],"&gt;0")</f>
        <v>1.6</v>
      </c>
    </row>
    <row r="102" spans="1:38" ht="27">
      <c r="A102" s="3" t="s">
        <v>98</v>
      </c>
      <c r="B102" s="48" t="str">
        <f>_xlfn.XLOOKUP(Table1[[#This Row],[Module Code]],Table2[Module Code],Table2[Module Title])</f>
        <v>Laser Physics and Non-Linear Optics</v>
      </c>
      <c r="C102" s="43">
        <f>INDEX(Table2[CA weight],MATCH(Table1[[#This Row],[Module Code]],Table2[Module Code],0))</f>
        <v>20</v>
      </c>
      <c r="D102" s="43">
        <f>INDEX(Table2[Credits],MATCH(Table1[[#This Row],[Module Code]],Table2[Module Code],0))</f>
        <v>10</v>
      </c>
      <c r="E102" s="12" t="s">
        <v>110</v>
      </c>
      <c r="F102" s="40" t="s">
        <v>344</v>
      </c>
      <c r="G102" s="11" t="s">
        <v>214</v>
      </c>
      <c r="H102" s="11" t="s">
        <v>307</v>
      </c>
      <c r="I102" s="11">
        <v>6</v>
      </c>
      <c r="J102" s="44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47">
        <f>SUMIF(Table1[[#This Row],[Autumn Week 1]:[Spring Week 12]],"&gt;0",Table1[[#This Row],[Autumn Week 1]:[Spring Week 12]])</f>
        <v>0.16</v>
      </c>
      <c r="AL102" s="4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178</v>
      </c>
      <c r="B103" s="48" t="str">
        <f>_xlfn.XLOOKUP(Table1[[#This Row],[Module Code]],Table2[Module Code],Table2[Module Title])</f>
        <v>High-Energy Astrophysics</v>
      </c>
      <c r="C103" s="43">
        <f>INDEX(Table2[CA weight],MATCH(Table1[[#This Row],[Module Code]],Table2[Module Code],0))</f>
        <v>40</v>
      </c>
      <c r="D103" s="43">
        <f>INDEX(Table2[Credits],MATCH(Table1[[#This Row],[Module Code]],Table2[Module Code],0))</f>
        <v>10</v>
      </c>
      <c r="E103" s="12" t="s">
        <v>5</v>
      </c>
      <c r="F103" s="12" t="s">
        <v>195</v>
      </c>
      <c r="G103" s="11" t="s">
        <v>214</v>
      </c>
      <c r="H103" s="11" t="s">
        <v>331</v>
      </c>
      <c r="I103" s="11">
        <v>6</v>
      </c>
      <c r="J103" s="44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47">
        <f>SUMIF(Table1[[#This Row],[Autumn Week 1]:[Spring Week 12]],"&gt;0",Table1[[#This Row],[Autumn Week 1]:[Spring Week 12]])</f>
        <v>0.2</v>
      </c>
      <c r="AL103" s="4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178</v>
      </c>
      <c r="B104" s="48" t="str">
        <f>_xlfn.XLOOKUP(Table1[[#This Row],[Module Code]],Table2[Module Code],Table2[Module Title])</f>
        <v>High-Energy Astrophysics</v>
      </c>
      <c r="C104" s="43">
        <f>INDEX(Table2[CA weight],MATCH(Table1[[#This Row],[Module Code]],Table2[Module Code],0))</f>
        <v>40</v>
      </c>
      <c r="D104" s="43">
        <f>INDEX(Table2[Credits],MATCH(Table1[[#This Row],[Module Code]],Table2[Module Code],0))</f>
        <v>10</v>
      </c>
      <c r="E104" s="12" t="s">
        <v>110</v>
      </c>
      <c r="F104" s="12" t="s">
        <v>269</v>
      </c>
      <c r="G104" s="11" t="s">
        <v>214</v>
      </c>
      <c r="H104" s="11" t="s">
        <v>285</v>
      </c>
      <c r="I104" s="11">
        <v>2</v>
      </c>
      <c r="J104" s="44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47">
        <f>SUMIF(Table1[[#This Row],[Autumn Week 1]:[Spring Week 12]],"&gt;0",Table1[[#This Row],[Autumn Week 1]:[Spring Week 12]])</f>
        <v>0.2</v>
      </c>
      <c r="AL104" s="4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99</v>
      </c>
      <c r="B105" s="48" t="str">
        <f>_xlfn.XLOOKUP(Table1[[#This Row],[Module Code]],Table2[Module Code],Table2[Module Title])</f>
        <v>Commercialising Innovation</v>
      </c>
      <c r="C105" s="43">
        <f>INDEX(Table2[CA weight],MATCH(Table1[[#This Row],[Module Code]],Table2[Module Code],0))</f>
        <v>100</v>
      </c>
      <c r="D105" s="43">
        <f>INDEX(Table2[Credits],MATCH(Table1[[#This Row],[Module Code]],Table2[Module Code],0))</f>
        <v>10</v>
      </c>
      <c r="E105" s="12" t="s">
        <v>5</v>
      </c>
      <c r="F105" s="12" t="s">
        <v>199</v>
      </c>
      <c r="G105" s="11" t="s">
        <v>214</v>
      </c>
      <c r="H105" s="11" t="s">
        <v>285</v>
      </c>
      <c r="I105" s="11">
        <v>11</v>
      </c>
      <c r="J105" s="44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47">
        <f>SUMIF(Table1[[#This Row],[Autumn Week 1]:[Spring Week 12]],"&gt;0",Table1[[#This Row],[Autumn Week 1]:[Spring Week 12]])</f>
        <v>0.7</v>
      </c>
      <c r="AL105" s="4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99</v>
      </c>
      <c r="B106" s="48" t="str">
        <f>_xlfn.XLOOKUP(Table1[[#This Row],[Module Code]],Table2[Module Code],Table2[Module Title])</f>
        <v>Commercialising Innovation</v>
      </c>
      <c r="C106" s="43">
        <f>INDEX(Table2[CA weight],MATCH(Table1[[#This Row],[Module Code]],Table2[Module Code],0))</f>
        <v>100</v>
      </c>
      <c r="D106" s="43">
        <f>INDEX(Table2[Credits],MATCH(Table1[[#This Row],[Module Code]],Table2[Module Code],0))</f>
        <v>10</v>
      </c>
      <c r="E106" s="12" t="s">
        <v>110</v>
      </c>
      <c r="F106" s="12" t="s">
        <v>322</v>
      </c>
      <c r="G106" s="11" t="s">
        <v>214</v>
      </c>
      <c r="H106" s="11" t="s">
        <v>285</v>
      </c>
      <c r="I106" s="11">
        <v>11</v>
      </c>
      <c r="J106" s="44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47">
        <f>SUMIF(Table1[[#This Row],[Autumn Week 1]:[Spring Week 12]],"&gt;0",Table1[[#This Row],[Autumn Week 1]:[Spring Week 12]])</f>
        <v>0.2</v>
      </c>
      <c r="AL106" s="4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99</v>
      </c>
      <c r="B107" s="48" t="str">
        <f>_xlfn.XLOOKUP(Table1[[#This Row],[Module Code]],Table2[Module Code],Table2[Module Title])</f>
        <v>Commercialising Innovation</v>
      </c>
      <c r="C107" s="43">
        <f>INDEX(Table2[CA weight],MATCH(Table1[[#This Row],[Module Code]],Table2[Module Code],0))</f>
        <v>100</v>
      </c>
      <c r="D107" s="43">
        <f>INDEX(Table2[Credits],MATCH(Table1[[#This Row],[Module Code]],Table2[Module Code],0))</f>
        <v>10</v>
      </c>
      <c r="E107" s="12" t="s">
        <v>5</v>
      </c>
      <c r="F107" s="12" t="s">
        <v>245</v>
      </c>
      <c r="G107" s="11" t="s">
        <v>214</v>
      </c>
      <c r="H107" s="11" t="s">
        <v>285</v>
      </c>
      <c r="I107" s="11">
        <v>11</v>
      </c>
      <c r="J107" s="44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47">
        <f>SUMIF(Table1[[#This Row],[Autumn Week 1]:[Spring Week 12]],"&gt;0",Table1[[#This Row],[Autumn Week 1]:[Spring Week 12]])</f>
        <v>0.1</v>
      </c>
      <c r="AL107" s="4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91</v>
      </c>
      <c r="B108" s="48" t="str">
        <f>_xlfn.XLOOKUP(Table1[[#This Row],[Module Code]],Table2[Module Code],Table2[Module Title])</f>
        <v>Cosmology</v>
      </c>
      <c r="C108" s="43">
        <f>INDEX(Table2[CA weight],MATCH(Table1[[#This Row],[Module Code]],Table2[Module Code],0))</f>
        <v>20</v>
      </c>
      <c r="D108" s="43">
        <f>INDEX(Table2[Credits],MATCH(Table1[[#This Row],[Module Code]],Table2[Module Code],0))</f>
        <v>10</v>
      </c>
      <c r="E108" s="12" t="s">
        <v>5</v>
      </c>
      <c r="F108" s="12" t="s">
        <v>195</v>
      </c>
      <c r="G108" s="11" t="s">
        <v>214</v>
      </c>
      <c r="H108" s="11" t="s">
        <v>331</v>
      </c>
      <c r="I108" s="11">
        <v>6</v>
      </c>
      <c r="J108" s="44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47">
        <f>SUMIF(Table1[[#This Row],[Autumn Week 1]:[Spring Week 12]],"&gt;0",Table1[[#This Row],[Autumn Week 1]:[Spring Week 12]])</f>
        <v>0.2</v>
      </c>
      <c r="AL108" s="4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93</v>
      </c>
      <c r="B109" s="48" t="str">
        <f>_xlfn.XLOOKUP(Table1[[#This Row],[Module Code]],Table2[Module Code],Table2[Module Title])</f>
        <v>Non-Ionising Radiation in Medicine</v>
      </c>
      <c r="C109" s="43">
        <f>INDEX(Table2[CA weight],MATCH(Table1[[#This Row],[Module Code]],Table2[Module Code],0))</f>
        <v>20</v>
      </c>
      <c r="D109" s="43">
        <f>INDEX(Table2[Credits],MATCH(Table1[[#This Row],[Module Code]],Table2[Module Code],0))</f>
        <v>10</v>
      </c>
      <c r="E109" s="12" t="s">
        <v>5</v>
      </c>
      <c r="F109" s="12" t="s">
        <v>195</v>
      </c>
      <c r="G109" s="11" t="s">
        <v>214</v>
      </c>
      <c r="H109" s="11" t="s">
        <v>285</v>
      </c>
      <c r="I109" s="11">
        <v>2</v>
      </c>
      <c r="J109" s="44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47">
        <f>SUMIF(Table1[[#This Row],[Autumn Week 1]:[Spring Week 12]],"&gt;0",Table1[[#This Row],[Autumn Week 1]:[Spring Week 12]])</f>
        <v>0.2</v>
      </c>
      <c r="AL109" s="4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95</v>
      </c>
      <c r="B110" s="48" t="str">
        <f>_xlfn.XLOOKUP(Table1[[#This Row],[Module Code]],Table2[Module Code],Table2[Module Title])</f>
        <v>Radiotherapy</v>
      </c>
      <c r="C110" s="43">
        <f>INDEX(Table2[CA weight],MATCH(Table1[[#This Row],[Module Code]],Table2[Module Code],0))</f>
        <v>20</v>
      </c>
      <c r="D110" s="43">
        <f>INDEX(Table2[Credits],MATCH(Table1[[#This Row],[Module Code]],Table2[Module Code],0))</f>
        <v>10</v>
      </c>
      <c r="E110" s="12" t="s">
        <v>110</v>
      </c>
      <c r="F110" s="12" t="s">
        <v>197</v>
      </c>
      <c r="G110" s="11" t="s">
        <v>214</v>
      </c>
      <c r="H110" s="11" t="s">
        <v>307</v>
      </c>
      <c r="I110" s="11">
        <v>4</v>
      </c>
      <c r="J110" s="44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47">
        <f>SUMIF(Table1[[#This Row],[Autumn Week 1]:[Spring Week 12]],"&gt;0",Table1[[#This Row],[Autumn Week 1]:[Spring Week 12]])</f>
        <v>0.2</v>
      </c>
      <c r="AL110" s="4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43</v>
      </c>
      <c r="B111" s="48" t="str">
        <f>_xlfn.XLOOKUP(Table1[[#This Row],[Module Code]],Table2[Module Code],Table2[Module Title])</f>
        <v>Physics Project</v>
      </c>
      <c r="C111" s="43">
        <f>INDEX(Table2[CA weight],MATCH(Table1[[#This Row],[Module Code]],Table2[Module Code],0))</f>
        <v>100</v>
      </c>
      <c r="D111" s="43">
        <f>INDEX(Table2[Credits],MATCH(Table1[[#This Row],[Module Code]],Table2[Module Code],0))</f>
        <v>30</v>
      </c>
      <c r="E111" s="12" t="s">
        <v>112</v>
      </c>
      <c r="F111" s="12" t="s">
        <v>215</v>
      </c>
      <c r="G111" s="11" t="s">
        <v>324</v>
      </c>
      <c r="H111" s="11" t="s">
        <v>346</v>
      </c>
      <c r="I111" s="11">
        <v>1</v>
      </c>
      <c r="J111" s="44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47">
        <f>SUMIF(Table1[[#This Row],[Autumn Week 1]:[Spring Week 12]],"&gt;0",Table1[[#This Row],[Autumn Week 1]:[Spring Week 12]])</f>
        <v>0.99999999999999956</v>
      </c>
      <c r="AL111" s="4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43</v>
      </c>
      <c r="B112" s="48" t="str">
        <f>_xlfn.XLOOKUP(Table1[[#This Row],[Module Code]],Table2[Module Code],Table2[Module Title])</f>
        <v>Physics Project</v>
      </c>
      <c r="C112" s="45">
        <f>INDEX(Table2[CA weight],MATCH(Table1[[#This Row],[Module Code]],Table2[Module Code],0))</f>
        <v>100</v>
      </c>
      <c r="D112" s="45">
        <f>INDEX(Table2[Credits],MATCH(Table1[[#This Row],[Module Code]],Table2[Module Code],0))</f>
        <v>30</v>
      </c>
      <c r="E112" s="12" t="s">
        <v>111</v>
      </c>
      <c r="F112" s="12" t="s">
        <v>318</v>
      </c>
      <c r="G112" s="11" t="s">
        <v>209</v>
      </c>
      <c r="H112" s="11" t="s">
        <v>285</v>
      </c>
      <c r="I112" s="11">
        <v>1</v>
      </c>
      <c r="J112" s="44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47">
        <f>SUMIF(Table1[[#This Row],[Autumn Week 1]:[Spring Week 12]],"&gt;0",Table1[[#This Row],[Autumn Week 1]:[Spring Week 12]])</f>
        <v>0.2</v>
      </c>
      <c r="AL112" s="4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43</v>
      </c>
      <c r="B113" s="48" t="str">
        <f>_xlfn.XLOOKUP(Table1[[#This Row],[Module Code]],Table2[Module Code],Table2[Module Title])</f>
        <v>Physics Project</v>
      </c>
      <c r="C113" s="43">
        <f>INDEX(Table2[CA weight],MATCH(Table1[[#This Row],[Module Code]],Table2[Module Code],0))</f>
        <v>100</v>
      </c>
      <c r="D113" s="43">
        <f>INDEX(Table2[Credits],MATCH(Table1[[#This Row],[Module Code]],Table2[Module Code],0))</f>
        <v>30</v>
      </c>
      <c r="E113" s="13" t="s">
        <v>111</v>
      </c>
      <c r="F113" s="13" t="s">
        <v>345</v>
      </c>
      <c r="G113" s="11" t="s">
        <v>214</v>
      </c>
      <c r="H113" s="11" t="s">
        <v>285</v>
      </c>
      <c r="I113" s="13">
        <v>1</v>
      </c>
      <c r="J113" s="44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47">
        <f>SUMIF(Table1[[#This Row],[Autumn Week 1]:[Spring Week 12]],"&gt;0",Table1[[#This Row],[Autumn Week 1]:[Spring Week 12]])</f>
        <v>0.4</v>
      </c>
      <c r="AL113" s="4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43</v>
      </c>
      <c r="B114" s="48" t="str">
        <f>_xlfn.XLOOKUP(Table1[[#This Row],[Module Code]],Table2[Module Code],Table2[Module Title])</f>
        <v>Physics Project</v>
      </c>
      <c r="C114" s="43">
        <f>INDEX(Table2[CA weight],MATCH(Table1[[#This Row],[Module Code]],Table2[Module Code],0))</f>
        <v>100</v>
      </c>
      <c r="D114" s="43">
        <f>INDEX(Table2[Credits],MATCH(Table1[[#This Row],[Module Code]],Table2[Module Code],0))</f>
        <v>30</v>
      </c>
      <c r="E114" s="11" t="s">
        <v>112</v>
      </c>
      <c r="F114" s="11" t="s">
        <v>321</v>
      </c>
      <c r="G114" s="11" t="s">
        <v>209</v>
      </c>
      <c r="H114" s="11" t="s">
        <v>285</v>
      </c>
      <c r="I114" s="11">
        <v>11</v>
      </c>
      <c r="J114" s="44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47">
        <f>SUMIF(Table1[[#This Row],[Autumn Week 1]:[Spring Week 12]],"&gt;0",Table1[[#This Row],[Autumn Week 1]:[Spring Week 12]])</f>
        <v>0.2</v>
      </c>
      <c r="AL114" s="4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43</v>
      </c>
      <c r="B115" s="48" t="str">
        <f>_xlfn.XLOOKUP(Table1[[#This Row],[Module Code]],Table2[Module Code],Table2[Module Title])</f>
        <v>Physics Project</v>
      </c>
      <c r="C115" s="43">
        <f>INDEX(Table2[CA weight],MATCH(Table1[[#This Row],[Module Code]],Table2[Module Code],0))</f>
        <v>100</v>
      </c>
      <c r="D115" s="43">
        <f>INDEX(Table2[Credits],MATCH(Table1[[#This Row],[Module Code]],Table2[Module Code],0))</f>
        <v>30</v>
      </c>
      <c r="E115" s="11" t="s">
        <v>112</v>
      </c>
      <c r="F115" s="11" t="s">
        <v>329</v>
      </c>
      <c r="G115" s="11" t="s">
        <v>214</v>
      </c>
      <c r="H115" s="11" t="s">
        <v>285</v>
      </c>
      <c r="I115" s="11">
        <v>11</v>
      </c>
      <c r="J115" s="44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47">
        <f>SUMIF(Table1[[#This Row],[Autumn Week 1]:[Spring Week 12]],"&gt;0",Table1[[#This Row],[Autumn Week 1]:[Spring Week 12]])</f>
        <v>0.4</v>
      </c>
      <c r="AL115" s="4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43</v>
      </c>
      <c r="B116" s="48" t="str">
        <f>_xlfn.XLOOKUP(Table1[[#This Row],[Module Code]],Table2[Module Code],Table2[Module Title])</f>
        <v>Physics Project</v>
      </c>
      <c r="C116" s="43">
        <f>INDEX(Table2[CA weight],MATCH(Table1[[#This Row],[Module Code]],Table2[Module Code],0))</f>
        <v>100</v>
      </c>
      <c r="D116" s="43">
        <f>INDEX(Table2[Credits],MATCH(Table1[[#This Row],[Module Code]],Table2[Module Code],0))</f>
        <v>30</v>
      </c>
      <c r="E116" s="11" t="s">
        <v>110</v>
      </c>
      <c r="F116" s="11" t="s">
        <v>197</v>
      </c>
      <c r="G116" s="11" t="s">
        <v>214</v>
      </c>
      <c r="H116" s="11" t="s">
        <v>295</v>
      </c>
      <c r="I116" s="11">
        <v>6</v>
      </c>
      <c r="J116" s="44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47">
        <f>SUMIF(Table1[[#This Row],[Autumn Week 1]:[Spring Week 12]],"&gt;0",Table1[[#This Row],[Autumn Week 1]:[Spring Week 12]])</f>
        <v>0.2</v>
      </c>
      <c r="AL116" s="47">
        <f>IF(Table1[[#This Row],[Hours]]&gt;0,Table1[[#This Row],[Hours]],Table1[[#This Row],[Nominal Hours]])*COUNTIF(Table1[[#This Row],[Autumn Week 1]:[Spring Week 12]],"&gt;0")</f>
        <v>15</v>
      </c>
    </row>
    <row r="117" spans="1:38" ht="54">
      <c r="A117" s="4" t="s">
        <v>54</v>
      </c>
      <c r="B117" s="48" t="str">
        <f>_xlfn.XLOOKUP(Table1[[#This Row],[Module Code]],Table2[Module Code],Table2[Module Title])</f>
        <v>Introduction to General Relativity</v>
      </c>
      <c r="C117" s="43">
        <f>INDEX(Table2[CA weight],MATCH(Table1[[#This Row],[Module Code]],Table2[Module Code],0))</f>
        <v>30</v>
      </c>
      <c r="D117" s="43">
        <f>INDEX(Table2[Credits],MATCH(Table1[[#This Row],[Module Code]],Table2[Module Code],0))</f>
        <v>10</v>
      </c>
      <c r="E117" s="11" t="s">
        <v>114</v>
      </c>
      <c r="F117" s="33" t="s">
        <v>266</v>
      </c>
      <c r="G117" s="11" t="s">
        <v>214</v>
      </c>
      <c r="H117" s="11" t="s">
        <v>285</v>
      </c>
      <c r="I117" s="11">
        <v>4</v>
      </c>
      <c r="J117" s="44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47">
        <f>SUMIF(Table1[[#This Row],[Autumn Week 1]:[Spring Week 12]],"&gt;0",Table1[[#This Row],[Autumn Week 1]:[Spring Week 12]])</f>
        <v>9.9999999999999992E-2</v>
      </c>
      <c r="AL117" s="4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54</v>
      </c>
      <c r="B118" s="48" t="str">
        <f>_xlfn.XLOOKUP(Table1[[#This Row],[Module Code]],Table2[Module Code],Table2[Module Title])</f>
        <v>Introduction to General Relativity</v>
      </c>
      <c r="C118" s="43">
        <f>INDEX(Table2[CA weight],MATCH(Table1[[#This Row],[Module Code]],Table2[Module Code],0))</f>
        <v>30</v>
      </c>
      <c r="D118" s="43">
        <f>INDEX(Table2[Credits],MATCH(Table1[[#This Row],[Module Code]],Table2[Module Code],0))</f>
        <v>10</v>
      </c>
      <c r="E118" s="11" t="s">
        <v>5</v>
      </c>
      <c r="F118" s="11" t="s">
        <v>365</v>
      </c>
      <c r="G118" s="11" t="s">
        <v>214</v>
      </c>
      <c r="H118" s="11" t="s">
        <v>285</v>
      </c>
      <c r="I118" s="11">
        <v>4</v>
      </c>
      <c r="J118" s="44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47">
        <f>SUMIF(Table1[[#This Row],[Autumn Week 1]:[Spring Week 12]],"&gt;0",Table1[[#This Row],[Autumn Week 1]:[Spring Week 12]])</f>
        <v>0</v>
      </c>
      <c r="AL118" s="4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54</v>
      </c>
      <c r="B119" s="48" t="str">
        <f>_xlfn.XLOOKUP(Table1[[#This Row],[Module Code]],Table2[Module Code],Table2[Module Title])</f>
        <v>Introduction to General Relativity</v>
      </c>
      <c r="C119" s="43">
        <f>INDEX(Table2[CA weight],MATCH(Table1[[#This Row],[Module Code]],Table2[Module Code],0))</f>
        <v>30</v>
      </c>
      <c r="D119" s="43">
        <f>INDEX(Table2[Credits],MATCH(Table1[[#This Row],[Module Code]],Table2[Module Code],0))</f>
        <v>10</v>
      </c>
      <c r="E119" s="11" t="s">
        <v>5</v>
      </c>
      <c r="F119" s="11" t="s">
        <v>195</v>
      </c>
      <c r="G119" s="11" t="s">
        <v>214</v>
      </c>
      <c r="H119" s="11" t="s">
        <v>291</v>
      </c>
      <c r="I119" s="11">
        <v>4</v>
      </c>
      <c r="J119" s="44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47">
        <f>SUMIF(Table1[[#This Row],[Autumn Week 1]:[Spring Week 12]],"&gt;0",Table1[[#This Row],[Autumn Week 1]:[Spring Week 12]])</f>
        <v>0.2</v>
      </c>
      <c r="AL119" s="4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223</v>
      </c>
      <c r="B120" s="48" t="str">
        <f>_xlfn.XLOOKUP(Table1[[#This Row],[Module Code]],Table2[Module Code],Table2[Module Title])</f>
        <v>Electromagnetic Radiation Detection</v>
      </c>
      <c r="C120" s="43">
        <f>INDEX(Table2[CA weight],MATCH(Table1[[#This Row],[Module Code]],Table2[Module Code],0))</f>
        <v>30</v>
      </c>
      <c r="D120" s="43">
        <f>INDEX(Table2[Credits],MATCH(Table1[[#This Row],[Module Code]],Table2[Module Code],0))</f>
        <v>10</v>
      </c>
      <c r="E120" s="11" t="s">
        <v>5</v>
      </c>
      <c r="F120" s="11" t="s">
        <v>195</v>
      </c>
      <c r="G120" s="11" t="s">
        <v>214</v>
      </c>
      <c r="H120" s="11" t="s">
        <v>285</v>
      </c>
      <c r="I120" s="11">
        <v>3</v>
      </c>
      <c r="J120" s="44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47">
        <f>SUMIF(Table1[[#This Row],[Autumn Week 1]:[Spring Week 12]],"&gt;0",Table1[[#This Row],[Autumn Week 1]:[Spring Week 12]])</f>
        <v>0.15</v>
      </c>
      <c r="AL120" s="4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223</v>
      </c>
      <c r="B121" s="48" t="str">
        <f>_xlfn.XLOOKUP(Table1[[#This Row],[Module Code]],Table2[Module Code],Table2[Module Title])</f>
        <v>Electromagnetic Radiation Detection</v>
      </c>
      <c r="C121" s="43">
        <f>INDEX(Table2[CA weight],MATCH(Table1[[#This Row],[Module Code]],Table2[Module Code],0))</f>
        <v>30</v>
      </c>
      <c r="D121" s="43">
        <f>INDEX(Table2[Credits],MATCH(Table1[[#This Row],[Module Code]],Table2[Module Code],0))</f>
        <v>10</v>
      </c>
      <c r="E121" s="11" t="s">
        <v>110</v>
      </c>
      <c r="F121" s="11" t="s">
        <v>355</v>
      </c>
      <c r="G121" s="11" t="s">
        <v>214</v>
      </c>
      <c r="H121" s="11" t="s">
        <v>307</v>
      </c>
      <c r="I121" s="11">
        <v>3</v>
      </c>
      <c r="J121" s="44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47">
        <f>SUMIF(Table1[[#This Row],[Autumn Week 1]:[Spring Week 12]],"&gt;0",Table1[[#This Row],[Autumn Week 1]:[Spring Week 12]])</f>
        <v>0.15</v>
      </c>
      <c r="AL121" s="47">
        <f>IF(Table1[[#This Row],[Hours]]&gt;0,Table1[[#This Row],[Hours]],Table1[[#This Row],[Nominal Hours]])*COUNTIF(Table1[[#This Row],[Autumn Week 1]:[Spring Week 12]],"&gt;0")</f>
        <v>6</v>
      </c>
    </row>
    <row r="122" spans="1:38" ht="40.5">
      <c r="A122" s="4" t="s">
        <v>56</v>
      </c>
      <c r="B122" s="48" t="str">
        <f>_xlfn.XLOOKUP(Table1[[#This Row],[Module Code]],Table2[Module Code],Table2[Module Title])</f>
        <v>Semiconductor Fabrication</v>
      </c>
      <c r="C122" s="43">
        <f>INDEX(Table2[CA weight],MATCH(Table1[[#This Row],[Module Code]],Table2[Module Code],0))</f>
        <v>25</v>
      </c>
      <c r="D122" s="43">
        <f>INDEX(Table2[Credits],MATCH(Table1[[#This Row],[Module Code]],Table2[Module Code],0))</f>
        <v>10</v>
      </c>
      <c r="E122" s="11" t="s">
        <v>110</v>
      </c>
      <c r="F122" s="33" t="s">
        <v>370</v>
      </c>
      <c r="G122" s="11" t="s">
        <v>214</v>
      </c>
      <c r="H122" s="11" t="s">
        <v>295</v>
      </c>
      <c r="I122" s="11">
        <v>2</v>
      </c>
      <c r="J122" s="44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47">
        <f>SUMIF(Table1[[#This Row],[Autumn Week 1]:[Spring Week 12]],"&gt;0",Table1[[#This Row],[Autumn Week 1]:[Spring Week 12]])</f>
        <v>0.25</v>
      </c>
      <c r="AL122" s="47">
        <f>IF(Table1[[#This Row],[Hours]]&gt;0,Table1[[#This Row],[Hours]],Table1[[#This Row],[Nominal Hours]])*COUNTIF(Table1[[#This Row],[Autumn Week 1]:[Spring Week 12]],"&gt;0")</f>
        <v>15</v>
      </c>
    </row>
    <row r="123" spans="1:38" ht="40.5">
      <c r="A123" s="4" t="s">
        <v>58</v>
      </c>
      <c r="B123" s="48" t="str">
        <f>_xlfn.XLOOKUP(Table1[[#This Row],[Module Code]],Table2[Module Code],Table2[Module Title])</f>
        <v>Quantum Theory of Many-Particle Systems</v>
      </c>
      <c r="C123" s="43">
        <f>INDEX(Table2[CA weight],MATCH(Table1[[#This Row],[Module Code]],Table2[Module Code],0))</f>
        <v>30</v>
      </c>
      <c r="D123" s="43">
        <f>INDEX(Table2[Credits],MATCH(Table1[[#This Row],[Module Code]],Table2[Module Code],0))</f>
        <v>10</v>
      </c>
      <c r="E123" s="11" t="s">
        <v>114</v>
      </c>
      <c r="F123" s="33" t="s">
        <v>271</v>
      </c>
      <c r="G123" s="11" t="s">
        <v>214</v>
      </c>
      <c r="H123" s="11" t="s">
        <v>285</v>
      </c>
      <c r="I123" s="11">
        <v>1</v>
      </c>
      <c r="J123" s="44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47">
        <f>SUMIF(Table1[[#This Row],[Autumn Week 1]:[Spring Week 12]],"&gt;0",Table1[[#This Row],[Autumn Week 1]:[Spring Week 12]])</f>
        <v>0.12</v>
      </c>
      <c r="AL123" s="4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58</v>
      </c>
      <c r="B124" s="48" t="str">
        <f>_xlfn.XLOOKUP(Table1[[#This Row],[Module Code]],Table2[Module Code],Table2[Module Title])</f>
        <v>Quantum Theory of Many-Particle Systems</v>
      </c>
      <c r="C124" s="43">
        <f>INDEX(Table2[CA weight],MATCH(Table1[[#This Row],[Module Code]],Table2[Module Code],0))</f>
        <v>30</v>
      </c>
      <c r="D124" s="43">
        <f>INDEX(Table2[Credits],MATCH(Table1[[#This Row],[Module Code]],Table2[Module Code],0))</f>
        <v>10</v>
      </c>
      <c r="E124" s="11" t="s">
        <v>5</v>
      </c>
      <c r="F124" s="11" t="s">
        <v>195</v>
      </c>
      <c r="G124" s="11" t="s">
        <v>214</v>
      </c>
      <c r="H124" s="11" t="s">
        <v>285</v>
      </c>
      <c r="I124" s="11">
        <v>6</v>
      </c>
      <c r="J124" s="44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47">
        <f>SUMIF(Table1[[#This Row],[Autumn Week 1]:[Spring Week 12]],"&gt;0",Table1[[#This Row],[Autumn Week 1]:[Spring Week 12]])</f>
        <v>0.18</v>
      </c>
      <c r="AL124" s="4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61</v>
      </c>
      <c r="B125" s="48" t="str">
        <f>_xlfn.XLOOKUP(Table1[[#This Row],[Module Code]],Table2[Module Code],Table2[Module Title])</f>
        <v>Data Science</v>
      </c>
      <c r="C125" s="43">
        <f>INDEX(Table2[CA weight],MATCH(Table1[[#This Row],[Module Code]],Table2[Module Code],0))</f>
        <v>100</v>
      </c>
      <c r="D125" s="43">
        <f>INDEX(Table2[Credits],MATCH(Table1[[#This Row],[Module Code]],Table2[Module Code],0))</f>
        <v>10</v>
      </c>
      <c r="E125" s="11" t="s">
        <v>114</v>
      </c>
      <c r="F125" s="11" t="s">
        <v>283</v>
      </c>
      <c r="G125" s="11" t="s">
        <v>209</v>
      </c>
      <c r="H125" s="11" t="s">
        <v>285</v>
      </c>
      <c r="I125" s="11">
        <v>1</v>
      </c>
      <c r="J125" s="44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47">
        <f>SUMIF(Table1[[#This Row],[Autumn Week 1]:[Spring Week 12]],"&gt;0",Table1[[#This Row],[Autumn Week 1]:[Spring Week 12]])</f>
        <v>8.7499999999999994E-2</v>
      </c>
      <c r="AL125" s="4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61</v>
      </c>
      <c r="B126" s="48" t="str">
        <f>_xlfn.XLOOKUP(Table1[[#This Row],[Module Code]],Table2[Module Code],Table2[Module Title])</f>
        <v>Data Science</v>
      </c>
      <c r="C126" s="43">
        <f>INDEX(Table2[CA weight],MATCH(Table1[[#This Row],[Module Code]],Table2[Module Code],0))</f>
        <v>100</v>
      </c>
      <c r="D126" s="43">
        <f>INDEX(Table2[Credits],MATCH(Table1[[#This Row],[Module Code]],Table2[Module Code],0))</f>
        <v>10</v>
      </c>
      <c r="E126" s="11"/>
      <c r="F126" s="11" t="s">
        <v>282</v>
      </c>
      <c r="G126" s="11" t="s">
        <v>214</v>
      </c>
      <c r="H126" s="11" t="s">
        <v>285</v>
      </c>
      <c r="I126" s="11">
        <v>1</v>
      </c>
      <c r="J126" s="44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47">
        <f>SUMIF(Table1[[#This Row],[Autumn Week 1]:[Spring Week 12]],"&gt;0",Table1[[#This Row],[Autumn Week 1]:[Spring Week 12]])</f>
        <v>0.1</v>
      </c>
      <c r="AL126" s="4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61</v>
      </c>
      <c r="B127" s="48" t="str">
        <f>_xlfn.XLOOKUP(Table1[[#This Row],[Module Code]],Table2[Module Code],Table2[Module Title])</f>
        <v>Data Science</v>
      </c>
      <c r="C127" s="43">
        <f>INDEX(Table2[CA weight],MATCH(Table1[[#This Row],[Module Code]],Table2[Module Code],0))</f>
        <v>100</v>
      </c>
      <c r="D127" s="43">
        <f>INDEX(Table2[Credits],MATCH(Table1[[#This Row],[Module Code]],Table2[Module Code],0))</f>
        <v>10</v>
      </c>
      <c r="E127" s="11" t="s">
        <v>4</v>
      </c>
      <c r="F127" s="11" t="s">
        <v>313</v>
      </c>
      <c r="G127" s="11" t="s">
        <v>214</v>
      </c>
      <c r="H127" s="11" t="s">
        <v>331</v>
      </c>
      <c r="I127" s="11">
        <v>4</v>
      </c>
      <c r="J127" s="44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47">
        <f>SUMIF(Table1[[#This Row],[Autumn Week 1]:[Spring Week 12]],"&gt;0",Table1[[#This Row],[Autumn Week 1]:[Spring Week 12]])</f>
        <v>0.35</v>
      </c>
      <c r="AL127" s="4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61</v>
      </c>
      <c r="B128" s="48" t="str">
        <f>_xlfn.XLOOKUP(Table1[[#This Row],[Module Code]],Table2[Module Code],Table2[Module Title])</f>
        <v>Data Science</v>
      </c>
      <c r="C128" s="43">
        <f>INDEX(Table2[CA weight],MATCH(Table1[[#This Row],[Module Code]],Table2[Module Code],0))</f>
        <v>100</v>
      </c>
      <c r="D128" s="43">
        <f>INDEX(Table2[Credits],MATCH(Table1[[#This Row],[Module Code]],Table2[Module Code],0))</f>
        <v>10</v>
      </c>
      <c r="E128" s="11" t="s">
        <v>112</v>
      </c>
      <c r="F128" s="11" t="s">
        <v>190</v>
      </c>
      <c r="G128" s="11" t="s">
        <v>214</v>
      </c>
      <c r="H128" s="11" t="s">
        <v>285</v>
      </c>
      <c r="I128" s="11">
        <v>4</v>
      </c>
      <c r="J128" s="44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47">
        <f>SUMIF(Table1[[#This Row],[Autumn Week 1]:[Spring Week 12]],"&gt;0",Table1[[#This Row],[Autumn Week 1]:[Spring Week 12]])</f>
        <v>0.55000000000000004</v>
      </c>
      <c r="AL128" s="47">
        <f>IF(Table1[[#This Row],[Hours]]&gt;0,Table1[[#This Row],[Hours]],Table1[[#This Row],[Nominal Hours]])*COUNTIF(Table1[[#This Row],[Autumn Week 1]:[Spring Week 12]],"&gt;0")</f>
        <v>22</v>
      </c>
    </row>
    <row r="129" spans="1:38" ht="54">
      <c r="A129" s="4" t="s">
        <v>63</v>
      </c>
      <c r="B129" s="48" t="str">
        <f>_xlfn.XLOOKUP(Table1[[#This Row],[Module Code]],Table2[Module Code],Table2[Module Title])</f>
        <v>Gravitational-wave Detectors</v>
      </c>
      <c r="C129" s="43">
        <f>INDEX(Table2[CA weight],MATCH(Table1[[#This Row],[Module Code]],Table2[Module Code],0))</f>
        <v>50</v>
      </c>
      <c r="D129" s="43">
        <f>INDEX(Table2[Credits],MATCH(Table1[[#This Row],[Module Code]],Table2[Module Code],0))</f>
        <v>10</v>
      </c>
      <c r="E129" s="11" t="s">
        <v>4</v>
      </c>
      <c r="F129" s="33" t="s">
        <v>347</v>
      </c>
      <c r="G129" s="11" t="s">
        <v>214</v>
      </c>
      <c r="H129" s="11" t="s">
        <v>291</v>
      </c>
      <c r="I129" s="11">
        <v>1</v>
      </c>
      <c r="J129" s="44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47">
        <f>SUMIF(Table1[[#This Row],[Autumn Week 1]:[Spring Week 12]],"&gt;0",Table1[[#This Row],[Autumn Week 1]:[Spring Week 12]])</f>
        <v>9.9999999999999992E-2</v>
      </c>
      <c r="AL129" s="4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63</v>
      </c>
      <c r="B130" s="48" t="str">
        <f>_xlfn.XLOOKUP(Table1[[#This Row],[Module Code]],Table2[Module Code],Table2[Module Title])</f>
        <v>Gravitational-wave Detectors</v>
      </c>
      <c r="C130" s="43">
        <f>INDEX(Table2[CA weight],MATCH(Table1[[#This Row],[Module Code]],Table2[Module Code],0))</f>
        <v>50</v>
      </c>
      <c r="D130" s="43">
        <f>INDEX(Table2[Credits],MATCH(Table1[[#This Row],[Module Code]],Table2[Module Code],0))</f>
        <v>10</v>
      </c>
      <c r="E130" s="11" t="s">
        <v>5</v>
      </c>
      <c r="F130" s="11" t="s">
        <v>195</v>
      </c>
      <c r="G130" s="11" t="s">
        <v>214</v>
      </c>
      <c r="H130" s="11" t="s">
        <v>285</v>
      </c>
      <c r="I130" s="11">
        <v>2</v>
      </c>
      <c r="J130" s="44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47">
        <f>SUMIF(Table1[[#This Row],[Autumn Week 1]:[Spring Week 12]],"&gt;0",Table1[[#This Row],[Autumn Week 1]:[Spring Week 12]])</f>
        <v>0.4</v>
      </c>
      <c r="AL130" s="4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179</v>
      </c>
      <c r="B131" s="48" t="str">
        <f>_xlfn.XLOOKUP(Table1[[#This Row],[Module Code]],Table2[Module Code],Table2[Module Title])</f>
        <v>Low dimensional semiconductor devices</v>
      </c>
      <c r="C131" s="43">
        <f>INDEX(Table2[CA weight],MATCH(Table1[[#This Row],[Module Code]],Table2[Module Code],0))</f>
        <v>20</v>
      </c>
      <c r="D131" s="43">
        <f>INDEX(Table2[Credits],MATCH(Table1[[#This Row],[Module Code]],Table2[Module Code],0))</f>
        <v>10</v>
      </c>
      <c r="E131" s="12" t="s">
        <v>5</v>
      </c>
      <c r="F131" s="12" t="s">
        <v>195</v>
      </c>
      <c r="G131" s="11" t="s">
        <v>214</v>
      </c>
      <c r="H131" s="11" t="s">
        <v>291</v>
      </c>
      <c r="I131" s="11">
        <v>3</v>
      </c>
      <c r="J131" s="44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47">
        <f>SUMIF(Table1[[#This Row],[Autumn Week 1]:[Spring Week 12]],"&gt;0",Table1[[#This Row],[Autumn Week 1]:[Spring Week 12]])</f>
        <v>0.2</v>
      </c>
      <c r="AL131" s="4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180</v>
      </c>
      <c r="B132" s="48" t="str">
        <f>_xlfn.XLOOKUP(Table1[[#This Row],[Module Code]],Table2[Module Code],Table2[Module Title])</f>
        <v>Advanced GR and Gravitational Waves</v>
      </c>
      <c r="C132" s="43">
        <f>INDEX(Table2[CA weight],MATCH(Table1[[#This Row],[Module Code]],Table2[Module Code],0))</f>
        <v>30</v>
      </c>
      <c r="D132" s="43">
        <f>INDEX(Table2[Credits],MATCH(Table1[[#This Row],[Module Code]],Table2[Module Code],0))</f>
        <v>10</v>
      </c>
      <c r="E132" s="12" t="s">
        <v>5</v>
      </c>
      <c r="F132" s="12" t="s">
        <v>195</v>
      </c>
      <c r="G132" s="11" t="s">
        <v>214</v>
      </c>
      <c r="H132" s="11" t="s">
        <v>285</v>
      </c>
      <c r="I132" s="11">
        <v>4</v>
      </c>
      <c r="J132" s="44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47">
        <f>SUMIF(Table1[[#This Row],[Autumn Week 1]:[Spring Week 12]],"&gt;0",Table1[[#This Row],[Autumn Week 1]:[Spring Week 12]])</f>
        <v>0.3</v>
      </c>
      <c r="AL132" s="47">
        <f>IF(Table1[[#This Row],[Hours]]&gt;0,Table1[[#This Row],[Hours]],Table1[[#This Row],[Nominal Hours]])*COUNTIF(Table1[[#This Row],[Autumn Week 1]:[Spring Week 12]],"&gt;0")</f>
        <v>12</v>
      </c>
    </row>
    <row r="133" spans="1:38" ht="54">
      <c r="A133" s="3" t="s">
        <v>181</v>
      </c>
      <c r="B133" s="48" t="str">
        <f>_xlfn.XLOOKUP(Table1[[#This Row],[Module Code]],Table2[Module Code],Table2[Module Title])</f>
        <v>Physics and Reality</v>
      </c>
      <c r="C133" s="43">
        <f>INDEX(Table2[CA weight],MATCH(Table1[[#This Row],[Module Code]],Table2[Module Code],0))</f>
        <v>60</v>
      </c>
      <c r="D133" s="43">
        <f>INDEX(Table2[Credits],MATCH(Table1[[#This Row],[Module Code]],Table2[Module Code],0))</f>
        <v>10</v>
      </c>
      <c r="E133" s="11" t="s">
        <v>114</v>
      </c>
      <c r="F133" s="33" t="s">
        <v>272</v>
      </c>
      <c r="G133" s="11" t="s">
        <v>214</v>
      </c>
      <c r="H133" s="11" t="s">
        <v>291</v>
      </c>
      <c r="I133" s="11">
        <v>1</v>
      </c>
      <c r="J133" s="44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47">
        <f>SUMIF(Table1[[#This Row],[Autumn Week 1]:[Spring Week 12]],"&gt;0",Table1[[#This Row],[Autumn Week 1]:[Spring Week 12]])</f>
        <v>0.19999999999999998</v>
      </c>
      <c r="AL133" s="4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181</v>
      </c>
      <c r="B134" s="48" t="str">
        <f>_xlfn.XLOOKUP(Table1[[#This Row],[Module Code]],Table2[Module Code],Table2[Module Title])</f>
        <v>Physics and Reality</v>
      </c>
      <c r="C134" s="43">
        <f>INDEX(Table2[CA weight],MATCH(Table1[[#This Row],[Module Code]],Table2[Module Code],0))</f>
        <v>60</v>
      </c>
      <c r="D134" s="43">
        <f>INDEX(Table2[Credits],MATCH(Table1[[#This Row],[Module Code]],Table2[Module Code],0))</f>
        <v>10</v>
      </c>
      <c r="E134" s="12" t="s">
        <v>5</v>
      </c>
      <c r="F134" s="12" t="s">
        <v>195</v>
      </c>
      <c r="G134" s="11" t="s">
        <v>214</v>
      </c>
      <c r="H134" s="11" t="s">
        <v>285</v>
      </c>
      <c r="I134" s="11">
        <v>3</v>
      </c>
      <c r="J134" s="44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47">
        <f>SUMIF(Table1[[#This Row],[Autumn Week 1]:[Spring Week 12]],"&gt;0",Table1[[#This Row],[Autumn Week 1]:[Spring Week 12]])</f>
        <v>0.1</v>
      </c>
      <c r="AL134" s="4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181</v>
      </c>
      <c r="B135" s="48" t="str">
        <f>_xlfn.XLOOKUP(Table1[[#This Row],[Module Code]],Table2[Module Code],Table2[Module Title])</f>
        <v>Physics and Reality</v>
      </c>
      <c r="C135" s="43">
        <f>INDEX(Table2[CA weight],MATCH(Table1[[#This Row],[Module Code]],Table2[Module Code],0))</f>
        <v>60</v>
      </c>
      <c r="D135" s="43">
        <f>INDEX(Table2[Credits],MATCH(Table1[[#This Row],[Module Code]],Table2[Module Code],0))</f>
        <v>10</v>
      </c>
      <c r="E135" s="12" t="s">
        <v>110</v>
      </c>
      <c r="F135" s="12" t="s">
        <v>322</v>
      </c>
      <c r="G135" s="11" t="s">
        <v>214</v>
      </c>
      <c r="H135" s="11" t="s">
        <v>295</v>
      </c>
      <c r="I135" s="11">
        <v>2</v>
      </c>
      <c r="J135" s="44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47">
        <f>SUMIF(Table1[[#This Row],[Autumn Week 1]:[Spring Week 12]],"&gt;0",Table1[[#This Row],[Autumn Week 1]:[Spring Week 12]])</f>
        <v>0.3</v>
      </c>
      <c r="AL135" s="47">
        <f>IF(Table1[[#This Row],[Hours]]&gt;0,Table1[[#This Row],[Hours]],Table1[[#This Row],[Nominal Hours]])*COUNTIF(Table1[[#This Row],[Autumn Week 1]:[Spring Week 12]],"&gt;0")</f>
        <v>12</v>
      </c>
    </row>
    <row r="136" spans="1:38" ht="54">
      <c r="A136" s="3" t="s">
        <v>182</v>
      </c>
      <c r="B136" s="48" t="str">
        <f>_xlfn.XLOOKUP(Table1[[#This Row],[Module Code]],Table2[Module Code],Table2[Module Title])</f>
        <v>Energy and Gas in Interstellar Space</v>
      </c>
      <c r="C136" s="43">
        <f>INDEX(Table2[CA weight],MATCH(Table1[[#This Row],[Module Code]],Table2[Module Code],0))</f>
        <v>20</v>
      </c>
      <c r="D136" s="43">
        <f>INDEX(Table2[Credits],MATCH(Table1[[#This Row],[Module Code]],Table2[Module Code],0))</f>
        <v>10</v>
      </c>
      <c r="E136" s="11" t="s">
        <v>114</v>
      </c>
      <c r="F136" s="33" t="s">
        <v>273</v>
      </c>
      <c r="G136" s="11" t="s">
        <v>214</v>
      </c>
      <c r="H136" s="11" t="s">
        <v>339</v>
      </c>
      <c r="I136" s="11">
        <v>1</v>
      </c>
      <c r="J136" s="44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47">
        <f>SUMIF(Table1[[#This Row],[Autumn Week 1]:[Spring Week 12]],"&gt;0",Table1[[#This Row],[Autumn Week 1]:[Spring Week 12]])</f>
        <v>0.1</v>
      </c>
      <c r="AL136" s="47">
        <f>IF(Table1[[#This Row],[Hours]]&gt;0,Table1[[#This Row],[Hours]],Table1[[#This Row],[Nominal Hours]])*COUNTIF(Table1[[#This Row],[Autumn Week 1]:[Spring Week 12]],"&gt;0")</f>
        <v>2.5</v>
      </c>
    </row>
    <row r="137" spans="1:38" ht="54">
      <c r="A137" s="3" t="s">
        <v>182</v>
      </c>
      <c r="B137" s="48" t="str">
        <f>_xlfn.XLOOKUP(Table1[[#This Row],[Module Code]],Table2[Module Code],Table2[Module Title])</f>
        <v>Energy and Gas in Interstellar Space</v>
      </c>
      <c r="C137" s="43">
        <f>INDEX(Table2[CA weight],MATCH(Table1[[#This Row],[Module Code]],Table2[Module Code],0))</f>
        <v>20</v>
      </c>
      <c r="D137" s="43">
        <f>INDEX(Table2[Credits],MATCH(Table1[[#This Row],[Module Code]],Table2[Module Code],0))</f>
        <v>10</v>
      </c>
      <c r="E137" s="11" t="s">
        <v>114</v>
      </c>
      <c r="F137" s="33" t="s">
        <v>274</v>
      </c>
      <c r="G137" s="11" t="s">
        <v>214</v>
      </c>
      <c r="H137" s="11" t="s">
        <v>339</v>
      </c>
      <c r="I137" s="11">
        <v>1</v>
      </c>
      <c r="J137" s="44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47">
        <f>SUMIF(Table1[[#This Row],[Autumn Week 1]:[Spring Week 12]],"&gt;0",Table1[[#This Row],[Autumn Week 1]:[Spring Week 12]])</f>
        <v>0.1</v>
      </c>
      <c r="AL137" s="4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104</v>
      </c>
      <c r="B138" s="48" t="str">
        <f>_xlfn.XLOOKUP(Table1[[#This Row],[Module Code]],Table2[Module Code],Table2[Module Title])</f>
        <v>Observational Gravitational Wave Astronomy</v>
      </c>
      <c r="C138" s="43">
        <f>INDEX(Table2[CA weight],MATCH(Table1[[#This Row],[Module Code]],Table2[Module Code],0))</f>
        <v>100</v>
      </c>
      <c r="D138" s="43">
        <f>INDEX(Table2[Credits],MATCH(Table1[[#This Row],[Module Code]],Table2[Module Code],0))</f>
        <v>10</v>
      </c>
      <c r="E138" s="12" t="s">
        <v>5</v>
      </c>
      <c r="F138" s="12" t="s">
        <v>253</v>
      </c>
      <c r="G138" s="11" t="s">
        <v>214</v>
      </c>
      <c r="H138" s="11" t="s">
        <v>285</v>
      </c>
      <c r="I138" s="11">
        <v>3</v>
      </c>
      <c r="J138" s="44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47">
        <f>SUMIF(Table1[[#This Row],[Autumn Week 1]:[Spring Week 12]],"&gt;0",Table1[[#This Row],[Autumn Week 1]:[Spring Week 12]])</f>
        <v>0.4</v>
      </c>
      <c r="AL138" s="4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104</v>
      </c>
      <c r="B139" s="48" t="str">
        <f>_xlfn.XLOOKUP(Table1[[#This Row],[Module Code]],Table2[Module Code],Table2[Module Title])</f>
        <v>Observational Gravitational Wave Astronomy</v>
      </c>
      <c r="C139" s="43">
        <f>INDEX(Table2[CA weight],MATCH(Table1[[#This Row],[Module Code]],Table2[Module Code],0))</f>
        <v>100</v>
      </c>
      <c r="D139" s="43">
        <f>INDEX(Table2[Credits],MATCH(Table1[[#This Row],[Module Code]],Table2[Module Code],0))</f>
        <v>10</v>
      </c>
      <c r="E139" s="12" t="s">
        <v>112</v>
      </c>
      <c r="F139" s="12" t="s">
        <v>190</v>
      </c>
      <c r="G139" s="11" t="s">
        <v>214</v>
      </c>
      <c r="H139" s="11" t="s">
        <v>285</v>
      </c>
      <c r="I139" s="11">
        <v>3</v>
      </c>
      <c r="J139" s="44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47">
        <f>SUMIF(Table1[[#This Row],[Autumn Week 1]:[Spring Week 12]],"&gt;0",Table1[[#This Row],[Autumn Week 1]:[Spring Week 12]])</f>
        <v>0.55000000000000004</v>
      </c>
      <c r="AL139" s="4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104</v>
      </c>
      <c r="B140" s="48" t="str">
        <f>_xlfn.XLOOKUP(Table1[[#This Row],[Module Code]],Table2[Module Code],Table2[Module Title])</f>
        <v>Observational Gravitational Wave Astronomy</v>
      </c>
      <c r="C140" s="43">
        <f>INDEX(Table2[CA weight],MATCH(Table1[[#This Row],[Module Code]],Table2[Module Code],0))</f>
        <v>100</v>
      </c>
      <c r="D140" s="43">
        <f>INDEX(Table2[Credits],MATCH(Table1[[#This Row],[Module Code]],Table2[Module Code],0))</f>
        <v>10</v>
      </c>
      <c r="E140" s="12" t="s">
        <v>111</v>
      </c>
      <c r="F140" s="12" t="s">
        <v>244</v>
      </c>
      <c r="G140" s="11" t="s">
        <v>214</v>
      </c>
      <c r="H140" s="11" t="s">
        <v>285</v>
      </c>
      <c r="I140" s="11">
        <v>1</v>
      </c>
      <c r="J140" s="44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47">
        <f>SUMIF(Table1[[#This Row],[Autumn Week 1]:[Spring Week 12]],"&gt;0",Table1[[#This Row],[Autumn Week 1]:[Spring Week 12]])</f>
        <v>0.05</v>
      </c>
      <c r="AL140" s="47">
        <f>IF(Table1[[#This Row],[Hours]]&gt;0,Table1[[#This Row],[Hours]],Table1[[#This Row],[Nominal Hours]])*COUNTIF(Table1[[#This Row],[Autumn Week 1]:[Spring Week 12]],"&gt;0")</f>
        <v>0.5</v>
      </c>
    </row>
    <row r="141" spans="1:38" ht="54">
      <c r="A141" s="3" t="s">
        <v>224</v>
      </c>
      <c r="B141" s="48" t="str">
        <f>_xlfn.XLOOKUP(Table1[[#This Row],[Module Code]],Table2[Module Code],Table2[Module Title])</f>
        <v>Quantum Statistical Mechanics</v>
      </c>
      <c r="C141" s="43">
        <f>INDEX(Table2[CA weight],MATCH(Table1[[#This Row],[Module Code]],Table2[Module Code],0))</f>
        <v>50</v>
      </c>
      <c r="D141" s="43">
        <f>INDEX(Table2[Credits],MATCH(Table1[[#This Row],[Module Code]],Table2[Module Code],0))</f>
        <v>10</v>
      </c>
      <c r="E141" s="12" t="s">
        <v>4</v>
      </c>
      <c r="F141" s="40" t="s">
        <v>272</v>
      </c>
      <c r="G141" s="11" t="s">
        <v>214</v>
      </c>
      <c r="H141" s="11" t="s">
        <v>291</v>
      </c>
      <c r="I141" s="11">
        <v>1</v>
      </c>
      <c r="J141" s="44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47">
        <f>SUMIF(Table1[[#This Row],[Autumn Week 1]:[Spring Week 12]],"&gt;0",Table1[[#This Row],[Autumn Week 1]:[Spring Week 12]])</f>
        <v>9.9999999999999992E-2</v>
      </c>
      <c r="AL141" s="4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224</v>
      </c>
      <c r="B142" s="48" t="str">
        <f>_xlfn.XLOOKUP(Table1[[#This Row],[Module Code]],Table2[Module Code],Table2[Module Title])</f>
        <v>Quantum Statistical Mechanics</v>
      </c>
      <c r="C142" s="43">
        <f>INDEX(Table2[CA weight],MATCH(Table1[[#This Row],[Module Code]],Table2[Module Code],0))</f>
        <v>50</v>
      </c>
      <c r="D142" s="43">
        <f>INDEX(Table2[Credits],MATCH(Table1[[#This Row],[Module Code]],Table2[Module Code],0))</f>
        <v>10</v>
      </c>
      <c r="E142" s="12" t="s">
        <v>5</v>
      </c>
      <c r="F142" s="12" t="s">
        <v>195</v>
      </c>
      <c r="G142" s="11" t="s">
        <v>214</v>
      </c>
      <c r="H142" s="11" t="s">
        <v>331</v>
      </c>
      <c r="I142" s="11">
        <v>4</v>
      </c>
      <c r="J142" s="44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47">
        <f>SUMIF(Table1[[#This Row],[Autumn Week 1]:[Spring Week 12]],"&gt;0",Table1[[#This Row],[Autumn Week 1]:[Spring Week 12]])</f>
        <v>0.4</v>
      </c>
      <c r="AL142" s="47">
        <f>IF(Table1[[#This Row],[Hours]]&gt;0,Table1[[#This Row],[Hours]],Table1[[#This Row],[Nominal Hours]])*COUNTIF(Table1[[#This Row],[Autumn Week 1]:[Spring Week 12]],"&gt;0")</f>
        <v>16</v>
      </c>
    </row>
    <row r="143" spans="1:38" ht="54">
      <c r="A143" s="3" t="s">
        <v>106</v>
      </c>
      <c r="B143" s="48" t="str">
        <f>_xlfn.XLOOKUP(Table1[[#This Row],[Module Code]],Table2[Module Code],Table2[Module Title])</f>
        <v>Advanced Particle Physics</v>
      </c>
      <c r="C143" s="43">
        <f>INDEX(Table2[CA weight],MATCH(Table1[[#This Row],[Module Code]],Table2[Module Code],0))</f>
        <v>30</v>
      </c>
      <c r="D143" s="43">
        <f>INDEX(Table2[Credits],MATCH(Table1[[#This Row],[Module Code]],Table2[Module Code],0))</f>
        <v>10</v>
      </c>
      <c r="E143" s="11" t="s">
        <v>114</v>
      </c>
      <c r="F143" s="33" t="s">
        <v>275</v>
      </c>
      <c r="G143" s="11" t="s">
        <v>214</v>
      </c>
      <c r="H143" s="11" t="s">
        <v>285</v>
      </c>
      <c r="I143" s="11">
        <v>1</v>
      </c>
      <c r="J143" s="44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47">
        <f>SUMIF(Table1[[#This Row],[Autumn Week 1]:[Spring Week 12]],"&gt;0",Table1[[#This Row],[Autumn Week 1]:[Spring Week 12]])</f>
        <v>0.15</v>
      </c>
      <c r="AL143" s="47">
        <f>IF(Table1[[#This Row],[Hours]]&gt;0,Table1[[#This Row],[Hours]],Table1[[#This Row],[Nominal Hours]])*COUNTIF(Table1[[#This Row],[Autumn Week 1]:[Spring Week 12]],"&gt;0")</f>
        <v>6</v>
      </c>
    </row>
    <row r="144" spans="1:38" ht="54">
      <c r="A144" s="3" t="s">
        <v>106</v>
      </c>
      <c r="B144" s="48" t="str">
        <f>_xlfn.XLOOKUP(Table1[[#This Row],[Module Code]],Table2[Module Code],Table2[Module Title])</f>
        <v>Advanced Particle Physics</v>
      </c>
      <c r="C144" s="43">
        <f>INDEX(Table2[CA weight],MATCH(Table1[[#This Row],[Module Code]],Table2[Module Code],0))</f>
        <v>30</v>
      </c>
      <c r="D144" s="43">
        <f>INDEX(Table2[Credits],MATCH(Table1[[#This Row],[Module Code]],Table2[Module Code],0))</f>
        <v>10</v>
      </c>
      <c r="E144" s="11" t="s">
        <v>114</v>
      </c>
      <c r="F144" s="33" t="s">
        <v>276</v>
      </c>
      <c r="G144" s="11" t="s">
        <v>214</v>
      </c>
      <c r="H144" s="11" t="s">
        <v>285</v>
      </c>
      <c r="I144" s="11">
        <v>1</v>
      </c>
      <c r="J144" s="44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47">
        <f>SUMIF(Table1[[#This Row],[Autumn Week 1]:[Spring Week 12]],"&gt;0",Table1[[#This Row],[Autumn Week 1]:[Spring Week 12]])</f>
        <v>0.15</v>
      </c>
      <c r="AL144" s="4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60</v>
      </c>
      <c r="B145" s="48" t="str">
        <f>_xlfn.XLOOKUP(Table1[[#This Row],[Module Code]],Table2[Module Code],Table2[Module Title])</f>
        <v>Advanced Semiconductor Device Photonics</v>
      </c>
      <c r="C145" s="43">
        <f>INDEX(Table2[CA weight],MATCH(Table1[[#This Row],[Module Code]],Table2[Module Code],0))</f>
        <v>50</v>
      </c>
      <c r="D145" s="43">
        <f>INDEX(Table2[Credits],MATCH(Table1[[#This Row],[Module Code]],Table2[Module Code],0))</f>
        <v>10</v>
      </c>
      <c r="E145" s="12" t="s">
        <v>5</v>
      </c>
      <c r="F145" s="12" t="s">
        <v>369</v>
      </c>
      <c r="G145" s="11" t="s">
        <v>214</v>
      </c>
      <c r="H145" s="11" t="s">
        <v>285</v>
      </c>
      <c r="I145" s="11">
        <v>3</v>
      </c>
      <c r="J145" s="44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47">
        <f>SUMIF(Table1[[#This Row],[Autumn Week 1]:[Spring Week 12]],"&gt;0",Table1[[#This Row],[Autumn Week 1]:[Spring Week 12]])</f>
        <v>0.5</v>
      </c>
      <c r="AL145" s="4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183</v>
      </c>
      <c r="B146" s="48" t="str">
        <f>_xlfn.XLOOKUP(Table1[[#This Row],[Module Code]],Table2[Module Code],Table2[Module Title])</f>
        <v>Exoplanets and the Search for Life</v>
      </c>
      <c r="C146" s="43">
        <f>INDEX(Table2[CA weight],MATCH(Table1[[#This Row],[Module Code]],Table2[Module Code],0))</f>
        <v>40</v>
      </c>
      <c r="D146" s="43">
        <f>INDEX(Table2[Credits],MATCH(Table1[[#This Row],[Module Code]],Table2[Module Code],0))</f>
        <v>10</v>
      </c>
      <c r="E146" s="12" t="s">
        <v>5</v>
      </c>
      <c r="F146" s="12" t="s">
        <v>262</v>
      </c>
      <c r="G146" s="11" t="s">
        <v>214</v>
      </c>
      <c r="H146" s="11" t="s">
        <v>285</v>
      </c>
      <c r="I146" s="11">
        <v>3</v>
      </c>
      <c r="J146" s="44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47">
        <f>SUMIF(Table1[[#This Row],[Autumn Week 1]:[Spring Week 12]],"&gt;0",Table1[[#This Row],[Autumn Week 1]:[Spring Week 12]])</f>
        <v>0.2</v>
      </c>
      <c r="AL146" s="4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183</v>
      </c>
      <c r="B147" s="48" t="str">
        <f>_xlfn.XLOOKUP(Table1[[#This Row],[Module Code]],Table2[Module Code],Table2[Module Title])</f>
        <v>Exoplanets and the Search for Life</v>
      </c>
      <c r="C147" s="43">
        <f>INDEX(Table2[CA weight],MATCH(Table1[[#This Row],[Module Code]],Table2[Module Code],0))</f>
        <v>40</v>
      </c>
      <c r="D147" s="43">
        <f>INDEX(Table2[Credits],MATCH(Table1[[#This Row],[Module Code]],Table2[Module Code],0))</f>
        <v>10</v>
      </c>
      <c r="E147" s="12" t="s">
        <v>5</v>
      </c>
      <c r="F147" s="12" t="s">
        <v>254</v>
      </c>
      <c r="G147" s="11" t="s">
        <v>214</v>
      </c>
      <c r="H147" s="11" t="s">
        <v>285</v>
      </c>
      <c r="I147" s="11">
        <v>3</v>
      </c>
      <c r="J147" s="44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47">
        <f>SUMIF(Table1[[#This Row],[Autumn Week 1]:[Spring Week 12]],"&gt;0",Table1[[#This Row],[Autumn Week 1]:[Spring Week 12]])</f>
        <v>0.2</v>
      </c>
      <c r="AL147" s="4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184</v>
      </c>
      <c r="B148" s="48" t="str">
        <f>_xlfn.XLOOKUP(Table1[[#This Row],[Module Code]],Table2[Module Code],Table2[Module Title])</f>
        <v>Numerical Relativity and Waveform Modelling</v>
      </c>
      <c r="C148" s="43">
        <f>INDEX(Table2[CA weight],MATCH(Table1[[#This Row],[Module Code]],Table2[Module Code],0))</f>
        <v>100</v>
      </c>
      <c r="D148" s="43">
        <f>INDEX(Table2[Credits],MATCH(Table1[[#This Row],[Module Code]],Table2[Module Code],0))</f>
        <v>10</v>
      </c>
      <c r="E148" s="12" t="s">
        <v>5</v>
      </c>
      <c r="F148" s="12" t="s">
        <v>330</v>
      </c>
      <c r="G148" s="11" t="s">
        <v>214</v>
      </c>
      <c r="H148" s="11" t="s">
        <v>285</v>
      </c>
      <c r="I148" s="11">
        <v>3</v>
      </c>
      <c r="J148" s="44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47">
        <f>SUMIF(Table1[[#This Row],[Autumn Week 1]:[Spring Week 12]],"&gt;0",Table1[[#This Row],[Autumn Week 1]:[Spring Week 12]])</f>
        <v>0.3</v>
      </c>
      <c r="AL148" s="4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184</v>
      </c>
      <c r="B149" s="48" t="str">
        <f>_xlfn.XLOOKUP(Table1[[#This Row],[Module Code]],Table2[Module Code],Table2[Module Title])</f>
        <v>Numerical Relativity and Waveform Modelling</v>
      </c>
      <c r="C149" s="43">
        <f>INDEX(Table2[CA weight],MATCH(Table1[[#This Row],[Module Code]],Table2[Module Code],0))</f>
        <v>100</v>
      </c>
      <c r="D149" s="43">
        <f>INDEX(Table2[Credits],MATCH(Table1[[#This Row],[Module Code]],Table2[Module Code],0))</f>
        <v>10</v>
      </c>
      <c r="E149" s="12" t="s">
        <v>5</v>
      </c>
      <c r="F149" s="12" t="s">
        <v>368</v>
      </c>
      <c r="G149" s="11" t="s">
        <v>214</v>
      </c>
      <c r="H149" s="11" t="s">
        <v>285</v>
      </c>
      <c r="I149" s="11">
        <v>3</v>
      </c>
      <c r="J149" s="44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47">
        <f>SUMIF(Table1[[#This Row],[Autumn Week 1]:[Spring Week 12]],"&gt;0",Table1[[#This Row],[Autumn Week 1]:[Spring Week 12]])</f>
        <v>0.2</v>
      </c>
      <c r="AL149" s="4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184</v>
      </c>
      <c r="B150" s="48" t="str">
        <f>_xlfn.XLOOKUP(Table1[[#This Row],[Module Code]],Table2[Module Code],Table2[Module Title])</f>
        <v>Numerical Relativity and Waveform Modelling</v>
      </c>
      <c r="C150" s="43">
        <f>INDEX(Table2[CA weight],MATCH(Table1[[#This Row],[Module Code]],Table2[Module Code],0))</f>
        <v>100</v>
      </c>
      <c r="D150" s="43">
        <f>INDEX(Table2[Credits],MATCH(Table1[[#This Row],[Module Code]],Table2[Module Code],0))</f>
        <v>10</v>
      </c>
      <c r="E150" s="12" t="s">
        <v>5</v>
      </c>
      <c r="F150" s="12" t="s">
        <v>257</v>
      </c>
      <c r="G150" s="11" t="s">
        <v>214</v>
      </c>
      <c r="H150" s="11" t="s">
        <v>285</v>
      </c>
      <c r="I150" s="11">
        <v>3</v>
      </c>
      <c r="J150" s="44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47">
        <f>SUMIF(Table1[[#This Row],[Autumn Week 1]:[Spring Week 12]],"&gt;0",Table1[[#This Row],[Autumn Week 1]:[Spring Week 12]])</f>
        <v>0.3</v>
      </c>
      <c r="AL150" s="4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184</v>
      </c>
      <c r="B151" s="48" t="str">
        <f>_xlfn.XLOOKUP(Table1[[#This Row],[Module Code]],Table2[Module Code],Table2[Module Title])</f>
        <v>Numerical Relativity and Waveform Modelling</v>
      </c>
      <c r="C151" s="43">
        <f>INDEX(Table2[CA weight],MATCH(Table1[[#This Row],[Module Code]],Table2[Module Code],0))</f>
        <v>100</v>
      </c>
      <c r="D151" s="43">
        <f>INDEX(Table2[Credits],MATCH(Table1[[#This Row],[Module Code]],Table2[Module Code],0))</f>
        <v>10</v>
      </c>
      <c r="E151" s="12" t="s">
        <v>5</v>
      </c>
      <c r="F151" s="12" t="s">
        <v>258</v>
      </c>
      <c r="G151" s="11" t="s">
        <v>214</v>
      </c>
      <c r="H151" s="11" t="s">
        <v>285</v>
      </c>
      <c r="I151" s="11">
        <v>3</v>
      </c>
      <c r="J151" s="44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47">
        <f>SUMIF(Table1[[#This Row],[Autumn Week 1]:[Spring Week 12]],"&gt;0",Table1[[#This Row],[Autumn Week 1]:[Spring Week 12]])</f>
        <v>0.2</v>
      </c>
      <c r="AL151" s="4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65</v>
      </c>
      <c r="B152" s="48" t="str">
        <f>_xlfn.XLOOKUP(Table1[[#This Row],[Module Code]],Table2[Module Code],Table2[Module Title])</f>
        <v>Physics Project</v>
      </c>
      <c r="C152" s="43">
        <f>INDEX(Table2[CA weight],MATCH(Table1[[#This Row],[Module Code]],Table2[Module Code],0))</f>
        <v>75</v>
      </c>
      <c r="D152" s="43">
        <f>INDEX(Table2[Credits],MATCH(Table1[[#This Row],[Module Code]],Table2[Module Code],0))</f>
        <v>60</v>
      </c>
      <c r="E152" s="11" t="s">
        <v>112</v>
      </c>
      <c r="F152" s="11" t="s">
        <v>216</v>
      </c>
      <c r="G152" s="11" t="s">
        <v>324</v>
      </c>
      <c r="H152" s="11" t="s">
        <v>346</v>
      </c>
      <c r="I152" s="11">
        <v>1</v>
      </c>
      <c r="J152" s="44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47">
        <f>SUMIF(Table1[[#This Row],[Autumn Week 1]:[Spring Week 12]],"&gt;0",Table1[[#This Row],[Autumn Week 1]:[Spring Week 12]])</f>
        <v>0.99999999999999956</v>
      </c>
      <c r="AL152" s="4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65</v>
      </c>
      <c r="B153" s="48" t="str">
        <f>_xlfn.XLOOKUP(Table1[[#This Row],[Module Code]],Table2[Module Code],Table2[Module Title])</f>
        <v>Physics Project</v>
      </c>
      <c r="C153" s="43">
        <f>INDEX(Table2[CA weight],MATCH(Table1[[#This Row],[Module Code]],Table2[Module Code],0))</f>
        <v>75</v>
      </c>
      <c r="D153" s="43">
        <f>INDEX(Table2[Credits],MATCH(Table1[[#This Row],[Module Code]],Table2[Module Code],0))</f>
        <v>60</v>
      </c>
      <c r="E153" s="11" t="s">
        <v>111</v>
      </c>
      <c r="F153" s="11" t="s">
        <v>318</v>
      </c>
      <c r="G153" s="11" t="s">
        <v>209</v>
      </c>
      <c r="H153" s="11" t="s">
        <v>285</v>
      </c>
      <c r="I153" s="11">
        <v>1</v>
      </c>
      <c r="J153" s="44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47">
        <f>SUMIF(Table1[[#This Row],[Autumn Week 1]:[Spring Week 12]],"&gt;0",Table1[[#This Row],[Autumn Week 1]:[Spring Week 12]])</f>
        <v>0.125</v>
      </c>
      <c r="AL153" s="4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65</v>
      </c>
      <c r="B154" s="48" t="str">
        <f>_xlfn.XLOOKUP(Table1[[#This Row],[Module Code]],Table2[Module Code],Table2[Module Title])</f>
        <v>Physics Project</v>
      </c>
      <c r="C154" s="43">
        <f>INDEX(Table2[CA weight],MATCH(Table1[[#This Row],[Module Code]],Table2[Module Code],0))</f>
        <v>75</v>
      </c>
      <c r="D154" s="43">
        <f>INDEX(Table2[Credits],MATCH(Table1[[#This Row],[Module Code]],Table2[Module Code],0))</f>
        <v>60</v>
      </c>
      <c r="E154" s="11" t="s">
        <v>111</v>
      </c>
      <c r="F154" s="11" t="s">
        <v>319</v>
      </c>
      <c r="G154" s="11" t="s">
        <v>214</v>
      </c>
      <c r="H154" s="11" t="s">
        <v>331</v>
      </c>
      <c r="I154" s="11">
        <v>1</v>
      </c>
      <c r="J154" s="44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47">
        <f>SUMIF(Table1[[#This Row],[Autumn Week 1]:[Spring Week 12]],"&gt;0",Table1[[#This Row],[Autumn Week 1]:[Spring Week 12]])</f>
        <v>0.25</v>
      </c>
      <c r="AL154" s="4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65</v>
      </c>
      <c r="B155" s="48" t="str">
        <f>_xlfn.XLOOKUP(Table1[[#This Row],[Module Code]],Table2[Module Code],Table2[Module Title])</f>
        <v>Physics Project</v>
      </c>
      <c r="C155" s="43">
        <f>INDEX(Table2[CA weight],MATCH(Table1[[#This Row],[Module Code]],Table2[Module Code],0))</f>
        <v>75</v>
      </c>
      <c r="D155" s="43">
        <f>INDEX(Table2[Credits],MATCH(Table1[[#This Row],[Module Code]],Table2[Module Code],0))</f>
        <v>60</v>
      </c>
      <c r="E155" s="11" t="s">
        <v>113</v>
      </c>
      <c r="F155" s="11" t="s">
        <v>320</v>
      </c>
      <c r="G155" s="11" t="s">
        <v>214</v>
      </c>
      <c r="H155" s="11" t="s">
        <v>307</v>
      </c>
      <c r="I155" s="11">
        <v>1</v>
      </c>
      <c r="J155" s="44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47">
        <f>SUMIF(Table1[[#This Row],[Autumn Week 1]:[Spring Week 12]],"&gt;0",Table1[[#This Row],[Autumn Week 1]:[Spring Week 12]])</f>
        <v>0.1</v>
      </c>
      <c r="AL155" s="4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65</v>
      </c>
      <c r="B156" s="48" t="str">
        <f>_xlfn.XLOOKUP(Table1[[#This Row],[Module Code]],Table2[Module Code],Table2[Module Title])</f>
        <v>Physics Project</v>
      </c>
      <c r="C156" s="43">
        <f>INDEX(Table2[CA weight],MATCH(Table1[[#This Row],[Module Code]],Table2[Module Code],0))</f>
        <v>75</v>
      </c>
      <c r="D156" s="43">
        <f>INDEX(Table2[Credits],MATCH(Table1[[#This Row],[Module Code]],Table2[Module Code],0))</f>
        <v>60</v>
      </c>
      <c r="E156" s="11" t="s">
        <v>112</v>
      </c>
      <c r="F156" s="11" t="s">
        <v>321</v>
      </c>
      <c r="G156" s="11" t="s">
        <v>209</v>
      </c>
      <c r="H156" s="11" t="s">
        <v>285</v>
      </c>
      <c r="I156" s="11">
        <v>11</v>
      </c>
      <c r="J156" s="44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47">
        <f>SUMIF(Table1[[#This Row],[Autumn Week 1]:[Spring Week 12]],"&gt;0",Table1[[#This Row],[Autumn Week 1]:[Spring Week 12]])</f>
        <v>0.2</v>
      </c>
      <c r="AL156" s="4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65</v>
      </c>
      <c r="B157" s="48" t="str">
        <f>_xlfn.XLOOKUP(Table1[[#This Row],[Module Code]],Table2[Module Code],Table2[Module Title])</f>
        <v>Physics Project</v>
      </c>
      <c r="C157" s="43">
        <f>INDEX(Table2[CA weight],MATCH(Table1[[#This Row],[Module Code]],Table2[Module Code],0))</f>
        <v>75</v>
      </c>
      <c r="D157" s="43">
        <f>INDEX(Table2[Credits],MATCH(Table1[[#This Row],[Module Code]],Table2[Module Code],0))</f>
        <v>60</v>
      </c>
      <c r="E157" s="11" t="s">
        <v>112</v>
      </c>
      <c r="F157" s="11" t="s">
        <v>217</v>
      </c>
      <c r="G157" s="11" t="s">
        <v>214</v>
      </c>
      <c r="H157" s="11" t="s">
        <v>331</v>
      </c>
      <c r="I157" s="11">
        <v>11</v>
      </c>
      <c r="J157" s="44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47">
        <f>SUMIF(Table1[[#This Row],[Autumn Week 1]:[Spring Week 12]],"&gt;0",Table1[[#This Row],[Autumn Week 1]:[Spring Week 12]])</f>
        <v>0.4</v>
      </c>
      <c r="AL157" s="4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65</v>
      </c>
      <c r="B158" s="48" t="str">
        <f>_xlfn.XLOOKUP(Table1[[#This Row],[Module Code]],Table2[Module Code],Table2[Module Title])</f>
        <v>Physics Project</v>
      </c>
      <c r="C158" s="43">
        <f>INDEX(Table2[CA weight],MATCH(Table1[[#This Row],[Module Code]],Table2[Module Code],0))</f>
        <v>75</v>
      </c>
      <c r="D158" s="43">
        <f>INDEX(Table2[Credits],MATCH(Table1[[#This Row],[Module Code]],Table2[Module Code],0))</f>
        <v>60</v>
      </c>
      <c r="E158" s="11" t="s">
        <v>110</v>
      </c>
      <c r="F158" s="11" t="s">
        <v>322</v>
      </c>
      <c r="G158" s="11" t="s">
        <v>214</v>
      </c>
      <c r="H158" s="11" t="s">
        <v>295</v>
      </c>
      <c r="I158" s="11">
        <v>1</v>
      </c>
      <c r="J158" s="44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47">
        <f>SUMIF(Table1[[#This Row],[Autumn Week 1]:[Spring Week 12]],"&gt;0",Table1[[#This Row],[Autumn Week 1]:[Spring Week 12]])</f>
        <v>0</v>
      </c>
      <c r="AL158" s="4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65</v>
      </c>
      <c r="B159" s="48" t="str">
        <f>_xlfn.XLOOKUP(Table1[[#This Row],[Module Code]],Table2[Module Code],Table2[Module Title])</f>
        <v>Physics Project</v>
      </c>
      <c r="C159" s="43">
        <f>INDEX(Table2[CA weight],MATCH(Table1[[#This Row],[Module Code]],Table2[Module Code],0))</f>
        <v>75</v>
      </c>
      <c r="D159" s="43">
        <f>INDEX(Table2[Credits],MATCH(Table1[[#This Row],[Module Code]],Table2[Module Code],0))</f>
        <v>60</v>
      </c>
      <c r="E159" s="11" t="s">
        <v>293</v>
      </c>
      <c r="F159" s="33" t="s">
        <v>323</v>
      </c>
      <c r="G159" s="11" t="s">
        <v>214</v>
      </c>
      <c r="H159" s="11" t="s">
        <v>295</v>
      </c>
      <c r="I159" s="11">
        <v>1</v>
      </c>
      <c r="J159" s="44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47">
        <f>SUMIF(Table1[[#This Row],[Autumn Week 1]:[Spring Week 12]],"&gt;0",Table1[[#This Row],[Autumn Week 1]:[Spring Week 12]])</f>
        <v>0</v>
      </c>
      <c r="AL159" s="4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229</v>
      </c>
      <c r="B160" s="48" t="str">
        <f>_xlfn.XLOOKUP(Table1[[#This Row],[Module Code]],Table2[Module Code],Table2[Module Title])</f>
        <v>LabVIEW Programming for Physicists</v>
      </c>
      <c r="C160" s="43">
        <f>INDEX(Table2[CA weight],MATCH(Table1[[#This Row],[Module Code]],Table2[Module Code],0))</f>
        <v>100</v>
      </c>
      <c r="D160" s="43">
        <f>INDEX(Table2[Credits],MATCH(Table1[[#This Row],[Module Code]],Table2[Module Code],0))</f>
        <v>10</v>
      </c>
      <c r="E160" s="11" t="s">
        <v>5</v>
      </c>
      <c r="F160" s="11" t="s">
        <v>259</v>
      </c>
      <c r="G160" s="11" t="s">
        <v>214</v>
      </c>
      <c r="H160" s="11" t="s">
        <v>285</v>
      </c>
      <c r="I160" s="11">
        <v>2</v>
      </c>
      <c r="J160" s="44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47">
        <f>SUMIF(Table1[[#This Row],[Autumn Week 1]:[Spring Week 12]],"&gt;0",Table1[[#This Row],[Autumn Week 1]:[Spring Week 12]])</f>
        <v>0.4</v>
      </c>
      <c r="AL160" s="4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229</v>
      </c>
      <c r="B161" s="48" t="str">
        <f>_xlfn.XLOOKUP(Table1[[#This Row],[Module Code]],Table2[Module Code],Table2[Module Title])</f>
        <v>LabVIEW Programming for Physicists</v>
      </c>
      <c r="C161" s="43">
        <f>INDEX(Table2[CA weight],MATCH(Table1[[#This Row],[Module Code]],Table2[Module Code],0))</f>
        <v>100</v>
      </c>
      <c r="D161" s="43">
        <f>INDEX(Table2[Credits],MATCH(Table1[[#This Row],[Module Code]],Table2[Module Code],0))</f>
        <v>10</v>
      </c>
      <c r="E161" s="11" t="s">
        <v>5</v>
      </c>
      <c r="F161" s="11" t="s">
        <v>260</v>
      </c>
      <c r="G161" s="11" t="s">
        <v>214</v>
      </c>
      <c r="H161" s="11" t="s">
        <v>285</v>
      </c>
      <c r="I161" s="11">
        <v>4</v>
      </c>
      <c r="J161" s="44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47">
        <f>SUMIF(Table1[[#This Row],[Autumn Week 1]:[Spring Week 12]],"&gt;0",Table1[[#This Row],[Autumn Week 1]:[Spring Week 12]])</f>
        <v>0.4</v>
      </c>
      <c r="AL161" s="4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229</v>
      </c>
      <c r="B162" s="48" t="str">
        <f>_xlfn.XLOOKUP(Table1[[#This Row],[Module Code]],Table2[Module Code],Table2[Module Title])</f>
        <v>LabVIEW Programming for Physicists</v>
      </c>
      <c r="C162" s="43">
        <f>INDEX(Table2[CA weight],MATCH(Table1[[#This Row],[Module Code]],Table2[Module Code],0))</f>
        <v>100</v>
      </c>
      <c r="D162" s="43">
        <f>INDEX(Table2[Credits],MATCH(Table1[[#This Row],[Module Code]],Table2[Module Code],0))</f>
        <v>10</v>
      </c>
      <c r="E162" s="11" t="s">
        <v>5</v>
      </c>
      <c r="F162" s="11" t="s">
        <v>261</v>
      </c>
      <c r="G162" s="11" t="s">
        <v>214</v>
      </c>
      <c r="H162" s="11" t="s">
        <v>285</v>
      </c>
      <c r="I162" s="11">
        <v>3</v>
      </c>
      <c r="J162" s="44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47">
        <f>SUMIF(Table1[[#This Row],[Autumn Week 1]:[Spring Week 12]],"&gt;0",Table1[[#This Row],[Autumn Week 1]:[Spring Week 12]])</f>
        <v>0.2</v>
      </c>
      <c r="AL162" s="4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231</v>
      </c>
      <c r="B163" s="48" t="str">
        <f>_xlfn.XLOOKUP(Table1[[#This Row],[Module Code]],Table2[Module Code],Table2[Module Title])</f>
        <v>Optical Semiconductor Device Modelling</v>
      </c>
      <c r="C163" s="43">
        <f>INDEX(Table2[CA weight],MATCH(Table1[[#This Row],[Module Code]],Table2[Module Code],0))</f>
        <v>100</v>
      </c>
      <c r="D163" s="43">
        <f>INDEX(Table2[Credits],MATCH(Table1[[#This Row],[Module Code]],Table2[Module Code],0))</f>
        <v>10</v>
      </c>
      <c r="E163" s="11" t="s">
        <v>5</v>
      </c>
      <c r="F163" s="11" t="s">
        <v>194</v>
      </c>
      <c r="G163" s="11" t="s">
        <v>214</v>
      </c>
      <c r="H163" s="11" t="s">
        <v>285</v>
      </c>
      <c r="I163" s="11">
        <v>5</v>
      </c>
      <c r="J163" s="44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47">
        <f>SUMIF(Table1[[#This Row],[Autumn Week 1]:[Spring Week 12]],"&gt;0",Table1[[#This Row],[Autumn Week 1]:[Spring Week 12]])</f>
        <v>1</v>
      </c>
      <c r="AL163" s="4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227</v>
      </c>
      <c r="B164" s="48" t="str">
        <f>_xlfn.XLOOKUP(Table1[[#This Row],[Module Code]],Table2[Module Code],Table2[Module Title])</f>
        <v>Cleanroom Processes &amp; Fabrication</v>
      </c>
      <c r="C164" s="43">
        <f>INDEX(Table2[CA weight],MATCH(Table1[[#This Row],[Module Code]],Table2[Module Code],0))</f>
        <v>100</v>
      </c>
      <c r="D164" s="43">
        <f>INDEX(Table2[Credits],MATCH(Table1[[#This Row],[Module Code]],Table2[Module Code],0))</f>
        <v>10</v>
      </c>
      <c r="E164" s="11" t="s">
        <v>5</v>
      </c>
      <c r="F164" s="11" t="s">
        <v>284</v>
      </c>
      <c r="G164" s="11" t="s">
        <v>214</v>
      </c>
      <c r="H164" s="11" t="s">
        <v>285</v>
      </c>
      <c r="I164" s="11">
        <v>1</v>
      </c>
      <c r="J164" s="44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47">
        <f>SUMIF(Table1[[#This Row],[Autumn Week 1]:[Spring Week 12]],"&gt;0",Table1[[#This Row],[Autumn Week 1]:[Spring Week 12]])</f>
        <v>0.49999999999999994</v>
      </c>
      <c r="AL164" s="4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227</v>
      </c>
      <c r="B165" s="48" t="str">
        <f>_xlfn.XLOOKUP(Table1[[#This Row],[Module Code]],Table2[Module Code],Table2[Module Title])</f>
        <v>Cleanroom Processes &amp; Fabrication</v>
      </c>
      <c r="C165" s="43">
        <f>INDEX(Table2[CA weight],MATCH(Table1[[#This Row],[Module Code]],Table2[Module Code],0))</f>
        <v>100</v>
      </c>
      <c r="D165" s="43">
        <f>INDEX(Table2[Credits],MATCH(Table1[[#This Row],[Module Code]],Table2[Module Code],0))</f>
        <v>10</v>
      </c>
      <c r="E165" s="11" t="s">
        <v>5</v>
      </c>
      <c r="F165" s="11" t="s">
        <v>286</v>
      </c>
      <c r="G165" s="11" t="s">
        <v>214</v>
      </c>
      <c r="H165" s="11" t="s">
        <v>285</v>
      </c>
      <c r="I165" s="11">
        <v>1</v>
      </c>
      <c r="J165" s="44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47">
        <f>SUMIF(Table1[[#This Row],[Autumn Week 1]:[Spring Week 12]],"&gt;0",Table1[[#This Row],[Autumn Week 1]:[Spring Week 12]])</f>
        <v>0.19999999999999998</v>
      </c>
      <c r="AL165" s="4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227</v>
      </c>
      <c r="B166" s="48" t="str">
        <f>_xlfn.XLOOKUP(Table1[[#This Row],[Module Code]],Table2[Module Code],Table2[Module Title])</f>
        <v>Cleanroom Processes &amp; Fabrication</v>
      </c>
      <c r="C166" s="43">
        <f>INDEX(Table2[CA weight],MATCH(Table1[[#This Row],[Module Code]],Table2[Module Code],0))</f>
        <v>100</v>
      </c>
      <c r="D166" s="43">
        <f>INDEX(Table2[Credits],MATCH(Table1[[#This Row],[Module Code]],Table2[Module Code],0))</f>
        <v>10</v>
      </c>
      <c r="E166" s="11" t="s">
        <v>5</v>
      </c>
      <c r="F166" s="11" t="s">
        <v>287</v>
      </c>
      <c r="G166" s="11" t="s">
        <v>214</v>
      </c>
      <c r="H166" s="11" t="s">
        <v>285</v>
      </c>
      <c r="I166" s="11">
        <v>11</v>
      </c>
      <c r="J166" s="44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47">
        <f>SUMIF(Table1[[#This Row],[Autumn Week 1]:[Spring Week 12]],"&gt;0",Table1[[#This Row],[Autumn Week 1]:[Spring Week 12]])</f>
        <v>0.3</v>
      </c>
      <c r="AL166" s="4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170</v>
      </c>
      <c r="B167" s="48" t="str">
        <f>_xlfn.XLOOKUP(Table1[[#This Row],[Module Code]],Table2[Module Code],Table2[Module Title])</f>
        <v>Advanced Techniques in Physics and Astrophysics</v>
      </c>
      <c r="C167" s="43">
        <f>INDEX(Table2[CA weight],MATCH(Table1[[#This Row],[Module Code]],Table2[Module Code],0))</f>
        <v>100</v>
      </c>
      <c r="D167" s="43">
        <f>INDEX(Table2[Credits],MATCH(Table1[[#This Row],[Module Code]],Table2[Module Code],0))</f>
        <v>20</v>
      </c>
      <c r="E167" s="11" t="s">
        <v>5</v>
      </c>
      <c r="F167" s="11" t="s">
        <v>288</v>
      </c>
      <c r="G167" s="11" t="s">
        <v>209</v>
      </c>
      <c r="H167" s="11" t="s">
        <v>285</v>
      </c>
      <c r="I167" s="11">
        <v>2</v>
      </c>
      <c r="J167" s="44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47">
        <f>SUMIF(Table1[[#This Row],[Autumn Week 1]:[Spring Week 12]],"&gt;0",Table1[[#This Row],[Autumn Week 1]:[Spring Week 12]])</f>
        <v>0.05</v>
      </c>
      <c r="AL167" s="4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170</v>
      </c>
      <c r="B168" s="48" t="str">
        <f>_xlfn.XLOOKUP(Table1[[#This Row],[Module Code]],Table2[Module Code],Table2[Module Title])</f>
        <v>Advanced Techniques in Physics and Astrophysics</v>
      </c>
      <c r="C168" s="43">
        <f>INDEX(Table2[CA weight],MATCH(Table1[[#This Row],[Module Code]],Table2[Module Code],0))</f>
        <v>100</v>
      </c>
      <c r="D168" s="43">
        <f>INDEX(Table2[Credits],MATCH(Table1[[#This Row],[Module Code]],Table2[Module Code],0))</f>
        <v>20</v>
      </c>
      <c r="E168" s="11" t="s">
        <v>5</v>
      </c>
      <c r="F168" s="11" t="s">
        <v>289</v>
      </c>
      <c r="G168" s="11" t="s">
        <v>209</v>
      </c>
      <c r="H168" s="11" t="s">
        <v>285</v>
      </c>
      <c r="I168" s="11">
        <v>2</v>
      </c>
      <c r="J168" s="44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47">
        <f>SUMIF(Table1[[#This Row],[Autumn Week 1]:[Spring Week 12]],"&gt;0",Table1[[#This Row],[Autumn Week 1]:[Spring Week 12]])</f>
        <v>0.05</v>
      </c>
      <c r="AL168" s="4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170</v>
      </c>
      <c r="B169" s="48" t="str">
        <f>_xlfn.XLOOKUP(Table1[[#This Row],[Module Code]],Table2[Module Code],Table2[Module Title])</f>
        <v>Advanced Techniques in Physics and Astrophysics</v>
      </c>
      <c r="C169" s="43">
        <f>INDEX(Table2[CA weight],MATCH(Table1[[#This Row],[Module Code]],Table2[Module Code],0))</f>
        <v>100</v>
      </c>
      <c r="D169" s="43">
        <f>INDEX(Table2[Credits],MATCH(Table1[[#This Row],[Module Code]],Table2[Module Code],0))</f>
        <v>20</v>
      </c>
      <c r="E169" s="11" t="s">
        <v>5</v>
      </c>
      <c r="F169" s="11" t="s">
        <v>290</v>
      </c>
      <c r="G169" s="11" t="s">
        <v>214</v>
      </c>
      <c r="H169" s="11" t="s">
        <v>291</v>
      </c>
      <c r="I169" s="11">
        <v>3</v>
      </c>
      <c r="J169" s="44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47">
        <f>SUMIF(Table1[[#This Row],[Autumn Week 1]:[Spring Week 12]],"&gt;0",Table1[[#This Row],[Autumn Week 1]:[Spring Week 12]])</f>
        <v>0.3</v>
      </c>
      <c r="AL169" s="4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170</v>
      </c>
      <c r="B170" s="48" t="str">
        <f>_xlfn.XLOOKUP(Table1[[#This Row],[Module Code]],Table2[Module Code],Table2[Module Title])</f>
        <v>Advanced Techniques in Physics and Astrophysics</v>
      </c>
      <c r="C170" s="43">
        <f>INDEX(Table2[CA weight],MATCH(Table1[[#This Row],[Module Code]],Table2[Module Code],0))</f>
        <v>100</v>
      </c>
      <c r="D170" s="43">
        <f>INDEX(Table2[Credits],MATCH(Table1[[#This Row],[Module Code]],Table2[Module Code],0))</f>
        <v>20</v>
      </c>
      <c r="E170" s="11" t="s">
        <v>112</v>
      </c>
      <c r="F170" s="11" t="s">
        <v>250</v>
      </c>
      <c r="G170" s="11" t="s">
        <v>214</v>
      </c>
      <c r="H170" s="11" t="s">
        <v>285</v>
      </c>
      <c r="I170" s="11">
        <v>6</v>
      </c>
      <c r="J170" s="44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47">
        <f>SUMIF(Table1[[#This Row],[Autumn Week 1]:[Spring Week 12]],"&gt;0",Table1[[#This Row],[Autumn Week 1]:[Spring Week 12]])</f>
        <v>0.1</v>
      </c>
      <c r="AL170" s="4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170</v>
      </c>
      <c r="B171" s="48" t="str">
        <f>_xlfn.XLOOKUP(Table1[[#This Row],[Module Code]],Table2[Module Code],Table2[Module Title])</f>
        <v>Advanced Techniques in Physics and Astrophysics</v>
      </c>
      <c r="C171" s="43">
        <f>INDEX(Table2[CA weight],MATCH(Table1[[#This Row],[Module Code]],Table2[Module Code],0))</f>
        <v>100</v>
      </c>
      <c r="D171" s="43">
        <f>INDEX(Table2[Credits],MATCH(Table1[[#This Row],[Module Code]],Table2[Module Code],0))</f>
        <v>20</v>
      </c>
      <c r="E171" s="11" t="s">
        <v>111</v>
      </c>
      <c r="F171" s="11" t="s">
        <v>292</v>
      </c>
      <c r="G171" s="11" t="s">
        <v>214</v>
      </c>
      <c r="H171" s="11" t="s">
        <v>285</v>
      </c>
      <c r="I171" s="11">
        <v>6</v>
      </c>
      <c r="J171" s="44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47">
        <f>SUMIF(Table1[[#This Row],[Autumn Week 1]:[Spring Week 12]],"&gt;0",Table1[[#This Row],[Autumn Week 1]:[Spring Week 12]])</f>
        <v>0.2</v>
      </c>
      <c r="AL171" s="4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170</v>
      </c>
      <c r="B172" s="48" t="str">
        <f>_xlfn.XLOOKUP(Table1[[#This Row],[Module Code]],Table2[Module Code],Table2[Module Title])</f>
        <v>Advanced Techniques in Physics and Astrophysics</v>
      </c>
      <c r="C172" s="43">
        <f>INDEX(Table2[CA weight],MATCH(Table1[[#This Row],[Module Code]],Table2[Module Code],0))</f>
        <v>100</v>
      </c>
      <c r="D172" s="43">
        <f>INDEX(Table2[Credits],MATCH(Table1[[#This Row],[Module Code]],Table2[Module Code],0))</f>
        <v>20</v>
      </c>
      <c r="E172" s="11" t="s">
        <v>293</v>
      </c>
      <c r="F172" s="11" t="s">
        <v>294</v>
      </c>
      <c r="G172" s="11" t="s">
        <v>214</v>
      </c>
      <c r="H172" s="11" t="s">
        <v>295</v>
      </c>
      <c r="I172" s="11">
        <v>1</v>
      </c>
      <c r="J172" s="44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47">
        <f>SUMIF(Table1[[#This Row],[Autumn Week 1]:[Spring Week 12]],"&gt;0",Table1[[#This Row],[Autumn Week 1]:[Spring Week 12]])</f>
        <v>0.4</v>
      </c>
      <c r="AL172" s="4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171</v>
      </c>
      <c r="B173" s="48" t="str">
        <f>_xlfn.XLOOKUP(Table1[[#This Row],[Module Code]],Table2[Module Code],Table2[Module Title])</f>
        <v>Advanced Study and Research Skills</v>
      </c>
      <c r="C173" s="43">
        <f>INDEX(Table2[CA weight],MATCH(Table1[[#This Row],[Module Code]],Table2[Module Code],0))</f>
        <v>100</v>
      </c>
      <c r="D173" s="43">
        <f>INDEX(Table2[Credits],MATCH(Table1[[#This Row],[Module Code]],Table2[Module Code],0))</f>
        <v>20</v>
      </c>
      <c r="E173" s="11" t="s">
        <v>5</v>
      </c>
      <c r="F173" s="11" t="s">
        <v>296</v>
      </c>
      <c r="G173" s="11" t="s">
        <v>374</v>
      </c>
      <c r="H173" s="11" t="s">
        <v>285</v>
      </c>
      <c r="I173" s="11">
        <v>3</v>
      </c>
      <c r="J173" s="44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47">
        <f>SUMIF(Table1[[#This Row],[Autumn Week 1]:[Spring Week 12]],"&gt;0",Table1[[#This Row],[Autumn Week 1]:[Spring Week 12]])</f>
        <v>0.05</v>
      </c>
      <c r="AL173" s="4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171</v>
      </c>
      <c r="B174" s="48" t="str">
        <f>_xlfn.XLOOKUP(Table1[[#This Row],[Module Code]],Table2[Module Code],Table2[Module Title])</f>
        <v>Advanced Study and Research Skills</v>
      </c>
      <c r="C174" s="43">
        <f>INDEX(Table2[CA weight],MATCH(Table1[[#This Row],[Module Code]],Table2[Module Code],0))</f>
        <v>100</v>
      </c>
      <c r="D174" s="43">
        <f>INDEX(Table2[Credits],MATCH(Table1[[#This Row],[Module Code]],Table2[Module Code],0))</f>
        <v>20</v>
      </c>
      <c r="E174" s="11" t="s">
        <v>112</v>
      </c>
      <c r="F174" s="11" t="s">
        <v>292</v>
      </c>
      <c r="G174" s="11" t="s">
        <v>214</v>
      </c>
      <c r="H174" s="11" t="s">
        <v>285</v>
      </c>
      <c r="I174" s="11">
        <v>7</v>
      </c>
      <c r="J174" s="44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47">
        <f>SUMIF(Table1[[#This Row],[Autumn Week 1]:[Spring Week 12]],"&gt;0",Table1[[#This Row],[Autumn Week 1]:[Spring Week 12]])</f>
        <v>0.2</v>
      </c>
      <c r="AL174" s="4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171</v>
      </c>
      <c r="B175" s="48" t="str">
        <f>_xlfn.XLOOKUP(Table1[[#This Row],[Module Code]],Table2[Module Code],Table2[Module Title])</f>
        <v>Advanced Study and Research Skills</v>
      </c>
      <c r="C175" s="43">
        <f>INDEX(Table2[CA weight],MATCH(Table1[[#This Row],[Module Code]],Table2[Module Code],0))</f>
        <v>100</v>
      </c>
      <c r="D175" s="43">
        <f>INDEX(Table2[Credits],MATCH(Table1[[#This Row],[Module Code]],Table2[Module Code],0))</f>
        <v>20</v>
      </c>
      <c r="E175" s="11" t="s">
        <v>111</v>
      </c>
      <c r="F175" s="11" t="s">
        <v>297</v>
      </c>
      <c r="G175" s="11" t="s">
        <v>214</v>
      </c>
      <c r="H175" s="11" t="s">
        <v>285</v>
      </c>
      <c r="I175" s="11">
        <v>6</v>
      </c>
      <c r="J175" s="44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47">
        <f>SUMIF(Table1[[#This Row],[Autumn Week 1]:[Spring Week 12]],"&gt;0",Table1[[#This Row],[Autumn Week 1]:[Spring Week 12]])</f>
        <v>0.3</v>
      </c>
      <c r="AL175" s="4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171</v>
      </c>
      <c r="B176" s="48" t="str">
        <f>_xlfn.XLOOKUP(Table1[[#This Row],[Module Code]],Table2[Module Code],Table2[Module Title])</f>
        <v>Advanced Study and Research Skills</v>
      </c>
      <c r="C176" s="43">
        <f>INDEX(Table2[CA weight],MATCH(Table1[[#This Row],[Module Code]],Table2[Module Code],0))</f>
        <v>100</v>
      </c>
      <c r="D176" s="43">
        <f>INDEX(Table2[Credits],MATCH(Table1[[#This Row],[Module Code]],Table2[Module Code],0))</f>
        <v>20</v>
      </c>
      <c r="E176" s="11" t="s">
        <v>112</v>
      </c>
      <c r="F176" s="11" t="s">
        <v>298</v>
      </c>
      <c r="G176" s="11" t="s">
        <v>214</v>
      </c>
      <c r="H176" s="11" t="s">
        <v>285</v>
      </c>
      <c r="I176" s="11">
        <v>6</v>
      </c>
      <c r="J176" s="44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47">
        <f>SUMIF(Table1[[#This Row],[Autumn Week 1]:[Spring Week 12]],"&gt;0",Table1[[#This Row],[Autumn Week 1]:[Spring Week 12]])</f>
        <v>0.5</v>
      </c>
      <c r="AL176" s="4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299</v>
      </c>
      <c r="B177" s="48" t="str">
        <f>_xlfn.XLOOKUP(Table1[[#This Row],[Module Code]],Table2[Module Code],Table2[Module Title])</f>
        <v>High Frequency Device Physics and Design</v>
      </c>
      <c r="C177" s="43">
        <f>INDEX(Table2[CA weight],MATCH(Table1[[#This Row],[Module Code]],Table2[Module Code],0))</f>
        <v>30</v>
      </c>
      <c r="D177" s="43">
        <f>INDEX(Table2[Credits],MATCH(Table1[[#This Row],[Module Code]],Table2[Module Code],0))</f>
        <v>10</v>
      </c>
      <c r="E177" s="11" t="s">
        <v>5</v>
      </c>
      <c r="F177" s="11" t="s">
        <v>301</v>
      </c>
      <c r="G177" s="11" t="s">
        <v>214</v>
      </c>
      <c r="H177" s="11" t="s">
        <v>302</v>
      </c>
      <c r="I177" s="11">
        <v>4</v>
      </c>
      <c r="J177" s="44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47">
        <f>SUMIF(Table1[[#This Row],[Autumn Week 1]:[Spring Week 12]],"&gt;0",Table1[[#This Row],[Autumn Week 1]:[Spring Week 12]])</f>
        <v>0.1</v>
      </c>
      <c r="AL177" s="4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299</v>
      </c>
      <c r="B178" s="48" t="str">
        <f>_xlfn.XLOOKUP(Table1[[#This Row],[Module Code]],Table2[Module Code],Table2[Module Title])</f>
        <v>High Frequency Device Physics and Design</v>
      </c>
      <c r="C178" s="43">
        <f>INDEX(Table2[CA weight],MATCH(Table1[[#This Row],[Module Code]],Table2[Module Code],0))</f>
        <v>30</v>
      </c>
      <c r="D178" s="43">
        <f>INDEX(Table2[Credits],MATCH(Table1[[#This Row],[Module Code]],Table2[Module Code],0))</f>
        <v>10</v>
      </c>
      <c r="E178" s="11" t="s">
        <v>5</v>
      </c>
      <c r="F178" s="11" t="s">
        <v>303</v>
      </c>
      <c r="G178" s="11" t="s">
        <v>214</v>
      </c>
      <c r="H178" s="11" t="s">
        <v>302</v>
      </c>
      <c r="I178" s="11">
        <v>6</v>
      </c>
      <c r="J178" s="44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47">
        <f>SUMIF(Table1[[#This Row],[Autumn Week 1]:[Spring Week 12]],"&gt;0",Table1[[#This Row],[Autumn Week 1]:[Spring Week 12]])</f>
        <v>0.2</v>
      </c>
      <c r="AL178" s="4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304</v>
      </c>
      <c r="B179" s="48" t="str">
        <f>_xlfn.XLOOKUP(Table1[[#This Row],[Module Code]],Table2[Module Code],Table2[Module Title])</f>
        <v>Micro- and Nano-engineering</v>
      </c>
      <c r="C179" s="43">
        <f>INDEX(Table2[CA weight],MATCH(Table1[[#This Row],[Module Code]],Table2[Module Code],0))</f>
        <v>100</v>
      </c>
      <c r="D179" s="43">
        <f>INDEX(Table2[Credits],MATCH(Table1[[#This Row],[Module Code]],Table2[Module Code],0))</f>
        <v>10</v>
      </c>
      <c r="E179" s="11" t="s">
        <v>5</v>
      </c>
      <c r="F179" s="11" t="s">
        <v>306</v>
      </c>
      <c r="G179" s="11" t="s">
        <v>214</v>
      </c>
      <c r="H179" s="11" t="s">
        <v>307</v>
      </c>
      <c r="I179" s="11">
        <v>3</v>
      </c>
      <c r="J179" s="44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47">
        <f>SUMIF(Table1[[#This Row],[Autumn Week 1]:[Spring Week 12]],"&gt;0",Table1[[#This Row],[Autumn Week 1]:[Spring Week 12]])</f>
        <v>0.2</v>
      </c>
      <c r="AL179" s="4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304</v>
      </c>
      <c r="B180" s="48" t="str">
        <f>_xlfn.XLOOKUP(Table1[[#This Row],[Module Code]],Table2[Module Code],Table2[Module Title])</f>
        <v>Micro- and Nano-engineering</v>
      </c>
      <c r="C180" s="43">
        <f>INDEX(Table2[CA weight],MATCH(Table1[[#This Row],[Module Code]],Table2[Module Code],0))</f>
        <v>100</v>
      </c>
      <c r="D180" s="43">
        <f>INDEX(Table2[Credits],MATCH(Table1[[#This Row],[Module Code]],Table2[Module Code],0))</f>
        <v>10</v>
      </c>
      <c r="E180" s="11" t="s">
        <v>5</v>
      </c>
      <c r="F180" s="11" t="s">
        <v>308</v>
      </c>
      <c r="G180" s="11" t="s">
        <v>214</v>
      </c>
      <c r="H180" s="11" t="s">
        <v>307</v>
      </c>
      <c r="I180" s="11">
        <v>8</v>
      </c>
      <c r="J180" s="44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47">
        <f>SUMIF(Table1[[#This Row],[Autumn Week 1]:[Spring Week 12]],"&gt;0",Table1[[#This Row],[Autumn Week 1]:[Spring Week 12]])</f>
        <v>0.5</v>
      </c>
      <c r="AL180" s="4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304</v>
      </c>
      <c r="B181" s="48" t="str">
        <f>_xlfn.XLOOKUP(Table1[[#This Row],[Module Code]],Table2[Module Code],Table2[Module Title])</f>
        <v>Micro- and Nano-engineering</v>
      </c>
      <c r="C181" s="43">
        <f>INDEX(Table2[CA weight],MATCH(Table1[[#This Row],[Module Code]],Table2[Module Code],0))</f>
        <v>100</v>
      </c>
      <c r="D181" s="43">
        <f>INDEX(Table2[Credits],MATCH(Table1[[#This Row],[Module Code]],Table2[Module Code],0))</f>
        <v>10</v>
      </c>
      <c r="E181" s="11" t="s">
        <v>5</v>
      </c>
      <c r="F181" s="11" t="s">
        <v>309</v>
      </c>
      <c r="G181" s="11" t="s">
        <v>214</v>
      </c>
      <c r="H181" s="11" t="s">
        <v>307</v>
      </c>
      <c r="I181" s="11">
        <v>3</v>
      </c>
      <c r="J181" s="44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47">
        <f>SUMIF(Table1[[#This Row],[Autumn Week 1]:[Spring Week 12]],"&gt;0",Table1[[#This Row],[Autumn Week 1]:[Spring Week 12]])</f>
        <v>0.3</v>
      </c>
      <c r="AL181" s="4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310</v>
      </c>
      <c r="B182" s="48" t="str">
        <f>_xlfn.XLOOKUP(Table1[[#This Row],[Module Code]],Table2[Module Code],Table2[Module Title])</f>
        <v>Applied Machine Learning</v>
      </c>
      <c r="C182" s="43">
        <f>INDEX(Table2[CA weight],MATCH(Table1[[#This Row],[Module Code]],Table2[Module Code],0))</f>
        <v>100</v>
      </c>
      <c r="D182" s="43">
        <f>INDEX(Table2[Credits],MATCH(Table1[[#This Row],[Module Code]],Table2[Module Code],0))</f>
        <v>20</v>
      </c>
      <c r="E182" s="11" t="s">
        <v>5</v>
      </c>
      <c r="F182" s="11" t="s">
        <v>312</v>
      </c>
      <c r="G182" s="11" t="s">
        <v>214</v>
      </c>
      <c r="H182" s="11" t="s">
        <v>307</v>
      </c>
      <c r="I182" s="11">
        <v>4</v>
      </c>
      <c r="J182" s="44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47">
        <f>SUMIF(Table1[[#This Row],[Autumn Week 1]:[Spring Week 12]],"&gt;0",Table1[[#This Row],[Autumn Week 1]:[Spring Week 12]])</f>
        <v>0.5</v>
      </c>
      <c r="AL182" s="4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310</v>
      </c>
      <c r="B183" s="48" t="str">
        <f>_xlfn.XLOOKUP(Table1[[#This Row],[Module Code]],Table2[Module Code],Table2[Module Title])</f>
        <v>Applied Machine Learning</v>
      </c>
      <c r="C183" s="43">
        <f>INDEX(Table2[CA weight],MATCH(Table1[[#This Row],[Module Code]],Table2[Module Code],0))</f>
        <v>100</v>
      </c>
      <c r="D183" s="43">
        <f>INDEX(Table2[Credits],MATCH(Table1[[#This Row],[Module Code]],Table2[Module Code],0))</f>
        <v>20</v>
      </c>
      <c r="E183" s="11" t="s">
        <v>4</v>
      </c>
      <c r="F183" s="11" t="s">
        <v>313</v>
      </c>
      <c r="G183" s="11" t="s">
        <v>214</v>
      </c>
      <c r="H183" s="11" t="s">
        <v>295</v>
      </c>
      <c r="I183" s="11">
        <v>1</v>
      </c>
      <c r="J183" s="44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47">
        <f>SUMIF(Table1[[#This Row],[Autumn Week 1]:[Spring Week 12]],"&gt;0",Table1[[#This Row],[Autumn Week 1]:[Spring Week 12]])</f>
        <v>0.5</v>
      </c>
      <c r="AL183" s="4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314</v>
      </c>
      <c r="B184" s="48" t="str">
        <f>_xlfn.XLOOKUP(Table1[[#This Row],[Module Code]],Table2[Module Code],Table2[Module Title])</f>
        <v>Principles of Machine Learning</v>
      </c>
      <c r="C184" s="43">
        <f>INDEX(Table2[CA weight],MATCH(Table1[[#This Row],[Module Code]],Table2[Module Code],0))</f>
        <v>50</v>
      </c>
      <c r="D184" s="43">
        <f>INDEX(Table2[Credits],MATCH(Table1[[#This Row],[Module Code]],Table2[Module Code],0))</f>
        <v>20</v>
      </c>
      <c r="E184" s="11" t="s">
        <v>5</v>
      </c>
      <c r="F184" s="11" t="s">
        <v>316</v>
      </c>
      <c r="G184" s="11" t="s">
        <v>214</v>
      </c>
      <c r="H184" s="11" t="s">
        <v>307</v>
      </c>
      <c r="I184" s="11">
        <v>2</v>
      </c>
      <c r="J184" s="44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47">
        <f>SUMIF(Table1[[#This Row],[Autumn Week 1]:[Spring Week 12]],"&gt;0",Table1[[#This Row],[Autumn Week 1]:[Spring Week 12]])</f>
        <v>0.5</v>
      </c>
      <c r="AL184" s="4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defaultRowHeight="14.25"/>
  <cols>
    <col min="1" max="1" width="14.796875" style="5" bestFit="1" customWidth="1"/>
    <col min="2" max="2" width="50.796875" style="5" bestFit="1" customWidth="1"/>
    <col min="4" max="5" width="10" style="10" customWidth="1"/>
    <col min="6" max="6" width="10.73046875" style="10" customWidth="1"/>
    <col min="7" max="7" width="10" style="10" bestFit="1" customWidth="1"/>
    <col min="8" max="16" width="16.265625" style="14" bestFit="1" customWidth="1"/>
    <col min="17" max="19" width="17.265625" style="14" bestFit="1" customWidth="1"/>
    <col min="20" max="31" width="8.73046875" style="16"/>
  </cols>
  <sheetData>
    <row r="1" spans="1:31">
      <c r="A1" s="5" t="s">
        <v>0</v>
      </c>
      <c r="B1" s="5" t="s">
        <v>6</v>
      </c>
      <c r="C1" s="10" t="s">
        <v>129</v>
      </c>
      <c r="D1" s="10" t="s">
        <v>135</v>
      </c>
      <c r="E1" s="10" t="s">
        <v>189</v>
      </c>
      <c r="F1" s="10" t="s">
        <v>202</v>
      </c>
      <c r="G1" s="14" t="s">
        <v>23</v>
      </c>
      <c r="H1" s="14" t="s">
        <v>24</v>
      </c>
      <c r="I1" s="14" t="s">
        <v>25</v>
      </c>
      <c r="J1" s="14" t="s">
        <v>26</v>
      </c>
      <c r="K1" s="14" t="s">
        <v>27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32</v>
      </c>
      <c r="Q1" s="14" t="s">
        <v>33</v>
      </c>
      <c r="R1" s="14" t="s">
        <v>34</v>
      </c>
      <c r="S1" s="15" t="s">
        <v>152</v>
      </c>
      <c r="T1" s="15" t="s">
        <v>153</v>
      </c>
      <c r="U1" s="15" t="s">
        <v>154</v>
      </c>
      <c r="V1" s="15" t="s">
        <v>155</v>
      </c>
      <c r="W1" s="15" t="s">
        <v>156</v>
      </c>
      <c r="X1" s="15" t="s">
        <v>157</v>
      </c>
      <c r="Y1" s="15" t="s">
        <v>158</v>
      </c>
      <c r="Z1" s="15" t="s">
        <v>159</v>
      </c>
      <c r="AA1" s="15" t="s">
        <v>160</v>
      </c>
      <c r="AB1" s="15" t="s">
        <v>161</v>
      </c>
      <c r="AC1" s="15" t="s">
        <v>162</v>
      </c>
      <c r="AD1" s="15" t="s">
        <v>163</v>
      </c>
      <c r="AE1" s="17" t="s">
        <v>211</v>
      </c>
    </row>
    <row r="2" spans="1:31">
      <c r="A2" s="4" t="s">
        <v>51</v>
      </c>
      <c r="B2" s="48" t="str">
        <f>_xlfn.XLOOKUP(Table14[[#This Row],[Module Code]],Table2[Module Code],Table2[Module Title])</f>
        <v>Mathematical Methods for Physicists I</v>
      </c>
      <c r="C2" s="43">
        <f>INDEX(Table2[Credits],MATCH(Table14[[#This Row],[Module Code]],Table2[Module Code],0))</f>
        <v>20</v>
      </c>
      <c r="D2" s="43" t="str">
        <f>INDEX(Table2[Semester],MATCH(Table14[[#This Row],[Module Code]],Table2[Module Code],0))</f>
        <v>SEM1</v>
      </c>
      <c r="E2" s="44">
        <f>INDEX(Table2[Contact Time],MATCH(Table14[[#This Row],[Module Code]],Table2[Module Code],0))</f>
        <v>4</v>
      </c>
      <c r="F2" s="11" t="s">
        <v>207</v>
      </c>
      <c r="G2" s="28">
        <v>4</v>
      </c>
      <c r="H2" s="28">
        <v>4</v>
      </c>
      <c r="I2" s="28">
        <v>4</v>
      </c>
      <c r="J2" s="28">
        <v>4</v>
      </c>
      <c r="K2" s="28">
        <v>4</v>
      </c>
      <c r="L2" s="28">
        <v>4</v>
      </c>
      <c r="M2" s="28">
        <v>4</v>
      </c>
      <c r="N2" s="28">
        <v>4</v>
      </c>
      <c r="O2" s="28">
        <v>4</v>
      </c>
      <c r="P2" s="28">
        <v>4</v>
      </c>
      <c r="Q2" s="28">
        <v>4</v>
      </c>
      <c r="R2" s="29"/>
      <c r="S2" s="30" t="s">
        <v>203</v>
      </c>
      <c r="T2" s="30" t="s">
        <v>203</v>
      </c>
      <c r="U2" s="30" t="s">
        <v>203</v>
      </c>
      <c r="V2" s="30" t="s">
        <v>203</v>
      </c>
      <c r="W2" s="30" t="s">
        <v>203</v>
      </c>
      <c r="X2" s="30" t="s">
        <v>203</v>
      </c>
      <c r="Y2" s="30" t="s">
        <v>203</v>
      </c>
      <c r="Z2" s="30" t="s">
        <v>203</v>
      </c>
      <c r="AA2" s="30" t="s">
        <v>203</v>
      </c>
      <c r="AB2" s="30" t="s">
        <v>203</v>
      </c>
      <c r="AC2" s="30" t="s">
        <v>203</v>
      </c>
      <c r="AD2" s="30"/>
      <c r="AE2" s="46">
        <f>SUM(Table14[[#This Row],[Autumn Week 1]:[Spring Week 12]])</f>
        <v>44</v>
      </c>
    </row>
    <row r="3" spans="1:31">
      <c r="A3" s="4" t="s">
        <v>237</v>
      </c>
      <c r="B3" s="48" t="str">
        <f>_xlfn.XLOOKUP(Table14[[#This Row],[Module Code]],Table2[Module Code],Table2[Module Title])</f>
        <v>Mechanics and Relativity</v>
      </c>
      <c r="C3" s="43">
        <f>INDEX(Table2[Credits],MATCH(Table14[[#This Row],[Module Code]],Table2[Module Code],0))</f>
        <v>20</v>
      </c>
      <c r="D3" s="43" t="str">
        <f>INDEX(Table2[Semester],MATCH(Table14[[#This Row],[Module Code]],Table2[Module Code],0))</f>
        <v>SEM1</v>
      </c>
      <c r="E3" s="44">
        <f>INDEX(Table2[Contact Time],MATCH(Table14[[#This Row],[Module Code]],Table2[Module Code],0))</f>
        <v>4</v>
      </c>
      <c r="F3" s="11" t="s">
        <v>207</v>
      </c>
      <c r="G3" s="28">
        <v>4</v>
      </c>
      <c r="H3" s="28">
        <v>4</v>
      </c>
      <c r="I3" s="28">
        <v>4</v>
      </c>
      <c r="J3" s="28">
        <v>4</v>
      </c>
      <c r="K3" s="28">
        <v>4</v>
      </c>
      <c r="L3" s="28">
        <v>4</v>
      </c>
      <c r="M3" s="28">
        <v>4</v>
      </c>
      <c r="N3" s="28">
        <v>4</v>
      </c>
      <c r="O3" s="28">
        <v>4</v>
      </c>
      <c r="P3" s="28">
        <v>4</v>
      </c>
      <c r="Q3" s="28">
        <v>4</v>
      </c>
      <c r="R3" s="29"/>
      <c r="S3" s="30" t="s">
        <v>203</v>
      </c>
      <c r="T3" s="30" t="s">
        <v>203</v>
      </c>
      <c r="U3" s="30" t="s">
        <v>203</v>
      </c>
      <c r="V3" s="30" t="s">
        <v>203</v>
      </c>
      <c r="W3" s="30" t="s">
        <v>203</v>
      </c>
      <c r="X3" s="30" t="s">
        <v>203</v>
      </c>
      <c r="Y3" s="30" t="s">
        <v>203</v>
      </c>
      <c r="Z3" s="30" t="s">
        <v>203</v>
      </c>
      <c r="AA3" s="30" t="s">
        <v>203</v>
      </c>
      <c r="AB3" s="30" t="s">
        <v>203</v>
      </c>
      <c r="AC3" s="30" t="s">
        <v>203</v>
      </c>
      <c r="AD3" s="30"/>
      <c r="AE3" s="46">
        <f>SUM(Table14[[#This Row],[Autumn Week 1]:[Spring Week 12]])</f>
        <v>44</v>
      </c>
    </row>
    <row r="4" spans="1:31">
      <c r="A4" s="4" t="s">
        <v>240</v>
      </c>
      <c r="B4" s="48" t="str">
        <f>_xlfn.XLOOKUP(Table14[[#This Row],[Module Code]],Table2[Module Code],Table2[Module Title])</f>
        <v>Introduction to Quantum Physics and Materials</v>
      </c>
      <c r="C4" s="43">
        <f>INDEX(Table2[Credits],MATCH(Table14[[#This Row],[Module Code]],Table2[Module Code],0))</f>
        <v>10</v>
      </c>
      <c r="D4" s="43" t="str">
        <f>INDEX(Table2[Semester],MATCH(Table14[[#This Row],[Module Code]],Table2[Module Code],0))</f>
        <v>SEM1</v>
      </c>
      <c r="E4" s="44">
        <f>INDEX(Table2[Contact Time],MATCH(Table14[[#This Row],[Module Code]],Table2[Module Code],0))</f>
        <v>2</v>
      </c>
      <c r="F4" s="11" t="s">
        <v>207</v>
      </c>
      <c r="G4" s="28">
        <v>2</v>
      </c>
      <c r="H4" s="28">
        <v>2</v>
      </c>
      <c r="I4" s="28">
        <v>2</v>
      </c>
      <c r="J4" s="28">
        <v>2</v>
      </c>
      <c r="K4" s="28">
        <v>2</v>
      </c>
      <c r="L4" s="28">
        <v>2</v>
      </c>
      <c r="M4" s="28">
        <v>2</v>
      </c>
      <c r="N4" s="28">
        <v>2</v>
      </c>
      <c r="O4" s="28">
        <v>2</v>
      </c>
      <c r="P4" s="28">
        <v>2</v>
      </c>
      <c r="Q4" s="28">
        <v>2</v>
      </c>
      <c r="R4" s="29"/>
      <c r="S4" s="30" t="s">
        <v>203</v>
      </c>
      <c r="T4" s="30" t="s">
        <v>203</v>
      </c>
      <c r="U4" s="30" t="s">
        <v>203</v>
      </c>
      <c r="V4" s="30" t="s">
        <v>203</v>
      </c>
      <c r="W4" s="30" t="s">
        <v>203</v>
      </c>
      <c r="X4" s="30" t="s">
        <v>203</v>
      </c>
      <c r="Y4" s="30" t="s">
        <v>203</v>
      </c>
      <c r="Z4" s="30" t="s">
        <v>203</v>
      </c>
      <c r="AA4" s="30" t="s">
        <v>203</v>
      </c>
      <c r="AB4" s="30" t="s">
        <v>203</v>
      </c>
      <c r="AC4" s="30" t="s">
        <v>203</v>
      </c>
      <c r="AD4" s="30"/>
      <c r="AE4" s="46">
        <f>SUM(Table14[[#This Row],[Autumn Week 1]:[Spring Week 12]])</f>
        <v>22</v>
      </c>
    </row>
    <row r="5" spans="1:31">
      <c r="A5" s="4" t="s">
        <v>53</v>
      </c>
      <c r="B5" s="48" t="str">
        <f>_xlfn.XLOOKUP(Table14[[#This Row],[Module Code]],Table2[Module Code],Table2[Module Title])</f>
        <v>Experimental Physics </v>
      </c>
      <c r="C5" s="43">
        <f>INDEX(Table2[Credits],MATCH(Table14[[#This Row],[Module Code]],Table2[Module Code],0))</f>
        <v>20</v>
      </c>
      <c r="D5" s="43" t="str">
        <f>INDEX(Table2[Semester],MATCH(Table14[[#This Row],[Module Code]],Table2[Module Code],0))</f>
        <v>SEMD</v>
      </c>
      <c r="E5" s="44">
        <f>INDEX(Table2[Contact Time],MATCH(Table14[[#This Row],[Module Code]],Table2[Module Code],0))</f>
        <v>4</v>
      </c>
      <c r="F5" s="11" t="s">
        <v>208</v>
      </c>
      <c r="G5" s="28">
        <v>4</v>
      </c>
      <c r="H5" s="28">
        <v>4</v>
      </c>
      <c r="I5" s="28">
        <v>4</v>
      </c>
      <c r="J5" s="28">
        <v>4</v>
      </c>
      <c r="K5" s="28">
        <v>4</v>
      </c>
      <c r="L5" s="28">
        <v>4</v>
      </c>
      <c r="M5" s="28">
        <v>4</v>
      </c>
      <c r="N5" s="28">
        <v>4</v>
      </c>
      <c r="O5" s="28">
        <v>4</v>
      </c>
      <c r="P5" s="28">
        <v>2</v>
      </c>
      <c r="Q5" s="28">
        <v>2</v>
      </c>
      <c r="R5" s="29"/>
      <c r="S5" s="30">
        <v>4</v>
      </c>
      <c r="T5" s="30">
        <v>4</v>
      </c>
      <c r="U5" s="30">
        <v>4</v>
      </c>
      <c r="V5" s="30">
        <v>4</v>
      </c>
      <c r="W5" s="30">
        <v>4</v>
      </c>
      <c r="X5" s="30">
        <v>4</v>
      </c>
      <c r="Y5" s="30">
        <v>4</v>
      </c>
      <c r="Z5" s="30">
        <v>4</v>
      </c>
      <c r="AA5" s="30">
        <v>4</v>
      </c>
      <c r="AB5" s="30">
        <v>4</v>
      </c>
      <c r="AC5" s="30">
        <v>4</v>
      </c>
      <c r="AD5" s="30"/>
      <c r="AE5" s="46">
        <f>SUM(Table14[[#This Row],[Autumn Week 1]:[Spring Week 12]])</f>
        <v>84</v>
      </c>
    </row>
    <row r="6" spans="1:31">
      <c r="A6" s="3" t="s">
        <v>72</v>
      </c>
      <c r="B6" s="48" t="str">
        <f>_xlfn.XLOOKUP(Table14[[#This Row],[Module Code]],Table2[Module Code],Table2[Module Title])</f>
        <v>Electricity, Magnetism and Waves</v>
      </c>
      <c r="C6" s="43">
        <f>INDEX(Table2[Credits],MATCH(Table14[[#This Row],[Module Code]],Table2[Module Code],0))</f>
        <v>20</v>
      </c>
      <c r="D6" s="43" t="str">
        <f>INDEX(Table2[Semester],MATCH(Table14[[#This Row],[Module Code]],Table2[Module Code],0))</f>
        <v>SEM2</v>
      </c>
      <c r="E6" s="44">
        <f>INDEX(Table2[Contact Time],MATCH(Table14[[#This Row],[Module Code]],Table2[Module Code],0))</f>
        <v>4</v>
      </c>
      <c r="F6" s="12" t="s">
        <v>207</v>
      </c>
      <c r="G6" s="28" t="s">
        <v>203</v>
      </c>
      <c r="H6" s="28" t="s">
        <v>203</v>
      </c>
      <c r="I6" s="28" t="s">
        <v>203</v>
      </c>
      <c r="J6" s="28" t="s">
        <v>203</v>
      </c>
      <c r="K6" s="28" t="s">
        <v>203</v>
      </c>
      <c r="L6" s="28" t="s">
        <v>203</v>
      </c>
      <c r="M6" s="28" t="s">
        <v>203</v>
      </c>
      <c r="N6" s="28" t="s">
        <v>203</v>
      </c>
      <c r="O6" s="28" t="s">
        <v>203</v>
      </c>
      <c r="P6" s="28" t="s">
        <v>203</v>
      </c>
      <c r="Q6" s="28" t="s">
        <v>203</v>
      </c>
      <c r="R6" s="29"/>
      <c r="S6" s="30">
        <v>4</v>
      </c>
      <c r="T6" s="30">
        <v>4</v>
      </c>
      <c r="U6" s="30">
        <v>4</v>
      </c>
      <c r="V6" s="30">
        <v>4</v>
      </c>
      <c r="W6" s="30">
        <v>4</v>
      </c>
      <c r="X6" s="30">
        <v>4</v>
      </c>
      <c r="Y6" s="30">
        <v>4</v>
      </c>
      <c r="Z6" s="30">
        <v>4</v>
      </c>
      <c r="AA6" s="30">
        <v>4</v>
      </c>
      <c r="AB6" s="30">
        <v>4</v>
      </c>
      <c r="AC6" s="30">
        <v>4</v>
      </c>
      <c r="AD6" s="30"/>
      <c r="AE6" s="46">
        <f>SUM(Table14[[#This Row],[Autumn Week 1]:[Spring Week 12]])</f>
        <v>44</v>
      </c>
    </row>
    <row r="7" spans="1:31">
      <c r="A7" s="3" t="s">
        <v>176</v>
      </c>
      <c r="B7" s="48" t="str">
        <f>_xlfn.XLOOKUP(Table14[[#This Row],[Module Code]],Table2[Module Code],Table2[Module Title])</f>
        <v>Computational Skills for Problem Solving</v>
      </c>
      <c r="C7" s="43">
        <f>INDEX(Table2[Credits],MATCH(Table14[[#This Row],[Module Code]],Table2[Module Code],0))</f>
        <v>10</v>
      </c>
      <c r="D7" s="43" t="str">
        <f>INDEX(Table2[Semester],MATCH(Table14[[#This Row],[Module Code]],Table2[Module Code],0))</f>
        <v>SEM2</v>
      </c>
      <c r="E7" s="44">
        <f>INDEX(Table2[Contact Time],MATCH(Table14[[#This Row],[Module Code]],Table2[Module Code],0))</f>
        <v>3</v>
      </c>
      <c r="F7" s="11" t="s">
        <v>208</v>
      </c>
      <c r="G7" s="28" t="s">
        <v>203</v>
      </c>
      <c r="H7" s="28" t="s">
        <v>203</v>
      </c>
      <c r="I7" s="28" t="s">
        <v>203</v>
      </c>
      <c r="J7" s="28" t="s">
        <v>203</v>
      </c>
      <c r="K7" s="28" t="s">
        <v>203</v>
      </c>
      <c r="L7" s="28" t="s">
        <v>203</v>
      </c>
      <c r="M7" s="28" t="s">
        <v>203</v>
      </c>
      <c r="N7" s="28" t="s">
        <v>203</v>
      </c>
      <c r="O7" s="28" t="s">
        <v>203</v>
      </c>
      <c r="P7" s="28" t="s">
        <v>203</v>
      </c>
      <c r="Q7" s="28" t="s">
        <v>203</v>
      </c>
      <c r="R7" s="29"/>
      <c r="S7" s="30">
        <v>3</v>
      </c>
      <c r="T7" s="30">
        <v>3</v>
      </c>
      <c r="U7" s="30">
        <v>3</v>
      </c>
      <c r="V7" s="30">
        <v>3</v>
      </c>
      <c r="W7" s="30">
        <v>3</v>
      </c>
      <c r="X7" s="30">
        <v>3</v>
      </c>
      <c r="Y7" s="30">
        <v>3</v>
      </c>
      <c r="Z7" s="30">
        <v>3</v>
      </c>
      <c r="AA7" s="30">
        <v>3</v>
      </c>
      <c r="AB7" s="30">
        <v>3</v>
      </c>
      <c r="AC7" s="30">
        <v>3</v>
      </c>
      <c r="AD7" s="30"/>
      <c r="AE7" s="46">
        <f>SUM(Table14[[#This Row],[Autumn Week 1]:[Spring Week 12]])</f>
        <v>33</v>
      </c>
    </row>
    <row r="8" spans="1:31">
      <c r="A8" s="3" t="s">
        <v>74</v>
      </c>
      <c r="B8" s="48" t="str">
        <f>_xlfn.XLOOKUP(Table14[[#This Row],[Module Code]],Table2[Module Code],Table2[Module Title])</f>
        <v>Introduction to Astrophysics</v>
      </c>
      <c r="C8" s="43">
        <f>INDEX(Table2[Credits],MATCH(Table14[[#This Row],[Module Code]],Table2[Module Code],0))</f>
        <v>10</v>
      </c>
      <c r="D8" s="43" t="str">
        <f>INDEX(Table2[Semester],MATCH(Table14[[#This Row],[Module Code]],Table2[Module Code],0))</f>
        <v>SEM2</v>
      </c>
      <c r="E8" s="44">
        <f>INDEX(Table2[Contact Time],MATCH(Table14[[#This Row],[Module Code]],Table2[Module Code],0))</f>
        <v>2</v>
      </c>
      <c r="F8" s="11" t="s">
        <v>207</v>
      </c>
      <c r="G8" s="28" t="s">
        <v>203</v>
      </c>
      <c r="H8" s="28" t="s">
        <v>203</v>
      </c>
      <c r="I8" s="28" t="s">
        <v>203</v>
      </c>
      <c r="J8" s="28" t="s">
        <v>203</v>
      </c>
      <c r="K8" s="28" t="s">
        <v>203</v>
      </c>
      <c r="L8" s="28" t="s">
        <v>203</v>
      </c>
      <c r="M8" s="28" t="s">
        <v>203</v>
      </c>
      <c r="N8" s="28" t="s">
        <v>203</v>
      </c>
      <c r="O8" s="28" t="s">
        <v>203</v>
      </c>
      <c r="P8" s="28" t="s">
        <v>203</v>
      </c>
      <c r="Q8" s="28" t="s">
        <v>203</v>
      </c>
      <c r="R8" s="29"/>
      <c r="S8" s="30">
        <v>2</v>
      </c>
      <c r="T8" s="30">
        <v>2</v>
      </c>
      <c r="U8" s="30">
        <v>2</v>
      </c>
      <c r="V8" s="30">
        <v>2</v>
      </c>
      <c r="W8" s="30">
        <v>2</v>
      </c>
      <c r="X8" s="30">
        <v>2</v>
      </c>
      <c r="Y8" s="30">
        <v>2</v>
      </c>
      <c r="Z8" s="30">
        <v>2</v>
      </c>
      <c r="AA8" s="30">
        <v>2</v>
      </c>
      <c r="AB8" s="30">
        <v>2</v>
      </c>
      <c r="AC8" s="30">
        <v>2</v>
      </c>
      <c r="AD8" s="30"/>
      <c r="AE8" s="46">
        <f>SUM(Table14[[#This Row],[Autumn Week 1]:[Spring Week 12]])</f>
        <v>22</v>
      </c>
    </row>
    <row r="9" spans="1:31">
      <c r="A9" s="3" t="s">
        <v>75</v>
      </c>
      <c r="B9" s="48" t="str">
        <f>_xlfn.XLOOKUP(Table14[[#This Row],[Module Code]],Table2[Module Code],Table2[Module Title])</f>
        <v>Mathematical Methods for Physicists II</v>
      </c>
      <c r="C9" s="43">
        <f>INDEX(Table2[Credits],MATCH(Table14[[#This Row],[Module Code]],Table2[Module Code],0))</f>
        <v>10</v>
      </c>
      <c r="D9" s="43" t="str">
        <f>INDEX(Table2[Semester],MATCH(Table14[[#This Row],[Module Code]],Table2[Module Code],0))</f>
        <v>SEM2</v>
      </c>
      <c r="E9" s="44">
        <f>INDEX(Table2[Contact Time],MATCH(Table14[[#This Row],[Module Code]],Table2[Module Code],0))</f>
        <v>2</v>
      </c>
      <c r="F9" s="12" t="s">
        <v>207</v>
      </c>
      <c r="G9" s="28" t="s">
        <v>203</v>
      </c>
      <c r="H9" s="28" t="s">
        <v>203</v>
      </c>
      <c r="I9" s="28" t="s">
        <v>203</v>
      </c>
      <c r="J9" s="28" t="s">
        <v>203</v>
      </c>
      <c r="K9" s="28" t="s">
        <v>203</v>
      </c>
      <c r="L9" s="28" t="s">
        <v>203</v>
      </c>
      <c r="M9" s="28" t="s">
        <v>203</v>
      </c>
      <c r="N9" s="28" t="s">
        <v>203</v>
      </c>
      <c r="O9" s="28" t="s">
        <v>203</v>
      </c>
      <c r="P9" s="28" t="s">
        <v>203</v>
      </c>
      <c r="Q9" s="28" t="s">
        <v>203</v>
      </c>
      <c r="R9" s="29"/>
      <c r="S9" s="30">
        <v>2</v>
      </c>
      <c r="T9" s="30">
        <v>2</v>
      </c>
      <c r="U9" s="30">
        <v>2</v>
      </c>
      <c r="V9" s="30">
        <v>2</v>
      </c>
      <c r="W9" s="30">
        <v>2</v>
      </c>
      <c r="X9" s="30">
        <v>2</v>
      </c>
      <c r="Y9" s="30">
        <v>2</v>
      </c>
      <c r="Z9" s="30">
        <v>2</v>
      </c>
      <c r="AA9" s="30">
        <v>2</v>
      </c>
      <c r="AB9" s="30">
        <v>2</v>
      </c>
      <c r="AC9" s="30">
        <v>2</v>
      </c>
      <c r="AD9" s="30"/>
      <c r="AE9" s="46">
        <f>SUM(Table14[[#This Row],[Autumn Week 1]:[Spring Week 12]])</f>
        <v>22</v>
      </c>
    </row>
    <row r="10" spans="1:31">
      <c r="A10" s="3" t="s">
        <v>73</v>
      </c>
      <c r="B10" s="48" t="str">
        <f>_xlfn.XLOOKUP(Table14[[#This Row],[Module Code]],Table2[Module Code],Table2[Module Title])</f>
        <v>Introduction to Medical Physics</v>
      </c>
      <c r="C10" s="43">
        <f>INDEX(Table2[Credits],MATCH(Table14[[#This Row],[Module Code]],Table2[Module Code],0))</f>
        <v>10</v>
      </c>
      <c r="D10" s="43" t="str">
        <f>INDEX(Table2[Semester],MATCH(Table14[[#This Row],[Module Code]],Table2[Module Code],0))</f>
        <v>SEM2</v>
      </c>
      <c r="E10" s="44">
        <f>INDEX(Table2[Contact Time],MATCH(Table14[[#This Row],[Module Code]],Table2[Module Code],0))</f>
        <v>2</v>
      </c>
      <c r="F10" s="12" t="s">
        <v>207</v>
      </c>
      <c r="G10" s="28" t="s">
        <v>203</v>
      </c>
      <c r="H10" s="28" t="s">
        <v>203</v>
      </c>
      <c r="I10" s="28" t="s">
        <v>203</v>
      </c>
      <c r="J10" s="28" t="s">
        <v>203</v>
      </c>
      <c r="K10" s="28" t="s">
        <v>203</v>
      </c>
      <c r="L10" s="28" t="s">
        <v>203</v>
      </c>
      <c r="M10" s="28" t="s">
        <v>203</v>
      </c>
      <c r="N10" s="28" t="s">
        <v>203</v>
      </c>
      <c r="O10" s="28" t="s">
        <v>203</v>
      </c>
      <c r="P10" s="28" t="s">
        <v>203</v>
      </c>
      <c r="Q10" s="28" t="s">
        <v>203</v>
      </c>
      <c r="R10" s="29"/>
      <c r="S10" s="30">
        <v>2</v>
      </c>
      <c r="T10" s="30">
        <v>2</v>
      </c>
      <c r="U10" s="30">
        <v>2</v>
      </c>
      <c r="V10" s="30">
        <v>2</v>
      </c>
      <c r="W10" s="30">
        <v>2</v>
      </c>
      <c r="X10" s="30">
        <v>2</v>
      </c>
      <c r="Y10" s="30">
        <v>2</v>
      </c>
      <c r="Z10" s="30">
        <v>2</v>
      </c>
      <c r="AA10" s="30">
        <v>2</v>
      </c>
      <c r="AB10" s="30">
        <v>2</v>
      </c>
      <c r="AC10" s="30">
        <v>2</v>
      </c>
      <c r="AD10" s="30"/>
      <c r="AE10" s="46">
        <f>SUM(Table14[[#This Row],[Autumn Week 1]:[Spring Week 12]])</f>
        <v>22</v>
      </c>
    </row>
    <row r="11" spans="1:31">
      <c r="A11" s="3" t="s">
        <v>204</v>
      </c>
      <c r="B11" s="48" t="str">
        <f>_xlfn.XLOOKUP(Table14[[#This Row],[Module Code]],Table2[Module Code],Table2[Module Title])</f>
        <v>Tutorials</v>
      </c>
      <c r="C11" s="43">
        <f>INDEX(Table2[Credits],MATCH(Table14[[#This Row],[Module Code]],Table2[Module Code],0))</f>
        <v>0</v>
      </c>
      <c r="D11" s="43" t="str">
        <f>INDEX(Table2[Semester],MATCH(Table14[[#This Row],[Module Code]],Table2[Module Code],0))</f>
        <v>SEMD</v>
      </c>
      <c r="E11" s="44">
        <f>INDEX(Table2[Contact Time],MATCH(Table14[[#This Row],[Module Code]],Table2[Module Code],0))</f>
        <v>1</v>
      </c>
      <c r="F11" s="12" t="s">
        <v>206</v>
      </c>
      <c r="G11" s="28">
        <v>1</v>
      </c>
      <c r="H11" s="28">
        <v>1</v>
      </c>
      <c r="I11" s="28">
        <v>1</v>
      </c>
      <c r="J11" s="28">
        <v>1</v>
      </c>
      <c r="K11" s="28">
        <v>1</v>
      </c>
      <c r="L11" s="28"/>
      <c r="M11" s="28">
        <v>1</v>
      </c>
      <c r="N11" s="28">
        <v>1</v>
      </c>
      <c r="O11" s="28">
        <v>1</v>
      </c>
      <c r="P11" s="28">
        <v>1</v>
      </c>
      <c r="Q11" s="28">
        <v>1</v>
      </c>
      <c r="R11" s="29"/>
      <c r="S11" s="30">
        <v>1</v>
      </c>
      <c r="T11" s="30">
        <v>1</v>
      </c>
      <c r="U11" s="30">
        <v>1</v>
      </c>
      <c r="V11" s="30">
        <v>1</v>
      </c>
      <c r="W11" s="30">
        <v>1</v>
      </c>
      <c r="X11" s="30"/>
      <c r="Y11" s="30">
        <v>1</v>
      </c>
      <c r="Z11" s="30">
        <v>1</v>
      </c>
      <c r="AA11" s="30">
        <v>1</v>
      </c>
      <c r="AB11" s="30">
        <v>1</v>
      </c>
      <c r="AC11" s="30">
        <v>1</v>
      </c>
      <c r="AD11" s="30"/>
      <c r="AE11" s="46">
        <f>SUM(Table14[[#This Row],[Autumn Week 1]:[Spring Week 12]])</f>
        <v>20</v>
      </c>
    </row>
    <row r="12" spans="1:31">
      <c r="A12" s="4" t="s">
        <v>35</v>
      </c>
      <c r="B12" s="48" t="str">
        <f>_xlfn.XLOOKUP(Table14[[#This Row],[Module Code]],Table2[Module Code],Table2[Module Title])</f>
        <v>The Physics of Fields and Flows </v>
      </c>
      <c r="C12" s="43">
        <f>INDEX(Table2[Credits],MATCH(Table14[[#This Row],[Module Code]],Table2[Module Code],0))</f>
        <v>20</v>
      </c>
      <c r="D12" s="43" t="str">
        <f>INDEX(Table2[Semester],MATCH(Table14[[#This Row],[Module Code]],Table2[Module Code],0))</f>
        <v>SEM1</v>
      </c>
      <c r="E12" s="44">
        <f>INDEX(Table2[Contact Time],MATCH(Table14[[#This Row],[Module Code]],Table2[Module Code],0))</f>
        <v>4</v>
      </c>
      <c r="F12" s="11" t="s">
        <v>207</v>
      </c>
      <c r="G12" s="28">
        <v>4</v>
      </c>
      <c r="H12" s="28">
        <v>4</v>
      </c>
      <c r="I12" s="28">
        <v>4</v>
      </c>
      <c r="J12" s="28">
        <v>4</v>
      </c>
      <c r="K12" s="28">
        <v>4</v>
      </c>
      <c r="L12" s="28">
        <v>4</v>
      </c>
      <c r="M12" s="28">
        <v>4</v>
      </c>
      <c r="N12" s="28">
        <v>4</v>
      </c>
      <c r="O12" s="28">
        <v>4</v>
      </c>
      <c r="P12" s="28">
        <v>4</v>
      </c>
      <c r="Q12" s="28">
        <v>4</v>
      </c>
      <c r="R12" s="29"/>
      <c r="S12" s="30" t="s">
        <v>203</v>
      </c>
      <c r="T12" s="30" t="s">
        <v>203</v>
      </c>
      <c r="U12" s="30" t="s">
        <v>203</v>
      </c>
      <c r="V12" s="30" t="s">
        <v>203</v>
      </c>
      <c r="W12" s="30" t="s">
        <v>203</v>
      </c>
      <c r="X12" s="30" t="s">
        <v>203</v>
      </c>
      <c r="Y12" s="30" t="s">
        <v>203</v>
      </c>
      <c r="Z12" s="30" t="s">
        <v>203</v>
      </c>
      <c r="AA12" s="30" t="s">
        <v>203</v>
      </c>
      <c r="AB12" s="30" t="s">
        <v>203</v>
      </c>
      <c r="AC12" s="30" t="s">
        <v>203</v>
      </c>
      <c r="AD12" s="30"/>
      <c r="AE12" s="46">
        <f>SUM(Table14[[#This Row],[Autumn Week 1]:[Spring Week 12]])</f>
        <v>44</v>
      </c>
    </row>
    <row r="13" spans="1:31">
      <c r="A13" s="4" t="s">
        <v>243</v>
      </c>
      <c r="B13" s="48" t="str">
        <f>_xlfn.XLOOKUP(Table14[[#This Row],[Module Code]],Table2[Module Code],Table2[Module Title])</f>
        <v>Quantum Mechanics</v>
      </c>
      <c r="C13" s="43">
        <f>INDEX(Table2[Credits],MATCH(Table14[[#This Row],[Module Code]],Table2[Module Code],0))</f>
        <v>10</v>
      </c>
      <c r="D13" s="43" t="str">
        <f>INDEX(Table2[Semester],MATCH(Table14[[#This Row],[Module Code]],Table2[Module Code],0))</f>
        <v>SEM1</v>
      </c>
      <c r="E13" s="44">
        <f>INDEX(Table2[Contact Time],MATCH(Table14[[#This Row],[Module Code]],Table2[Module Code],0))</f>
        <v>3</v>
      </c>
      <c r="F13" s="11" t="s">
        <v>207</v>
      </c>
      <c r="G13" s="28">
        <v>3</v>
      </c>
      <c r="H13" s="28">
        <v>3</v>
      </c>
      <c r="I13" s="28">
        <v>3</v>
      </c>
      <c r="J13" s="28">
        <v>3</v>
      </c>
      <c r="K13" s="28">
        <v>3</v>
      </c>
      <c r="L13" s="28">
        <v>3</v>
      </c>
      <c r="M13" s="28">
        <v>3</v>
      </c>
      <c r="N13" s="28">
        <v>3</v>
      </c>
      <c r="O13" s="28">
        <v>3</v>
      </c>
      <c r="P13" s="28">
        <v>3</v>
      </c>
      <c r="Q13" s="28">
        <v>3</v>
      </c>
      <c r="R13" s="29"/>
      <c r="S13" s="30" t="s">
        <v>203</v>
      </c>
      <c r="T13" s="30" t="s">
        <v>203</v>
      </c>
      <c r="U13" s="30" t="s">
        <v>203</v>
      </c>
      <c r="V13" s="30" t="s">
        <v>203</v>
      </c>
      <c r="W13" s="30" t="s">
        <v>203</v>
      </c>
      <c r="X13" s="30" t="s">
        <v>203</v>
      </c>
      <c r="Y13" s="30" t="s">
        <v>203</v>
      </c>
      <c r="Z13" s="30" t="s">
        <v>203</v>
      </c>
      <c r="AA13" s="30" t="s">
        <v>203</v>
      </c>
      <c r="AB13" s="30" t="s">
        <v>203</v>
      </c>
      <c r="AC13" s="30" t="s">
        <v>203</v>
      </c>
      <c r="AD13" s="30"/>
      <c r="AE13" s="46">
        <f>SUM(Table14[[#This Row],[Autumn Week 1]:[Spring Week 12]])</f>
        <v>33</v>
      </c>
    </row>
    <row r="14" spans="1:31">
      <c r="A14" s="4" t="s">
        <v>45</v>
      </c>
      <c r="B14" s="48" t="str">
        <f>_xlfn.XLOOKUP(Table14[[#This Row],[Module Code]],Table2[Module Code],Table2[Module Title])</f>
        <v>Intermediate Practical Physics I</v>
      </c>
      <c r="C14" s="43">
        <f>INDEX(Table2[Credits],MATCH(Table14[[#This Row],[Module Code]],Table2[Module Code],0))</f>
        <v>10</v>
      </c>
      <c r="D14" s="43" t="str">
        <f>INDEX(Table2[Semester],MATCH(Table14[[#This Row],[Module Code]],Table2[Module Code],0))</f>
        <v>SEM1</v>
      </c>
      <c r="E14" s="44">
        <f>INDEX(Table2[Contact Time],MATCH(Table14[[#This Row],[Module Code]],Table2[Module Code],0))</f>
        <v>4</v>
      </c>
      <c r="F14" s="11" t="s">
        <v>208</v>
      </c>
      <c r="G14" s="28">
        <v>4</v>
      </c>
      <c r="H14" s="28">
        <v>4</v>
      </c>
      <c r="I14" s="28">
        <v>4</v>
      </c>
      <c r="J14" s="28">
        <v>4</v>
      </c>
      <c r="K14" s="28">
        <v>4</v>
      </c>
      <c r="L14" s="28">
        <v>4</v>
      </c>
      <c r="M14" s="28">
        <v>4</v>
      </c>
      <c r="N14" s="28">
        <v>4</v>
      </c>
      <c r="O14" s="28">
        <v>4</v>
      </c>
      <c r="P14" s="28">
        <v>4</v>
      </c>
      <c r="Q14" s="28">
        <v>4</v>
      </c>
      <c r="R14" s="29"/>
      <c r="S14" s="30" t="s">
        <v>203</v>
      </c>
      <c r="T14" s="30" t="s">
        <v>203</v>
      </c>
      <c r="U14" s="30" t="s">
        <v>203</v>
      </c>
      <c r="V14" s="30" t="s">
        <v>203</v>
      </c>
      <c r="W14" s="30" t="s">
        <v>203</v>
      </c>
      <c r="X14" s="30" t="s">
        <v>203</v>
      </c>
      <c r="Y14" s="30" t="s">
        <v>203</v>
      </c>
      <c r="Z14" s="30" t="s">
        <v>203</v>
      </c>
      <c r="AA14" s="30" t="s">
        <v>203</v>
      </c>
      <c r="AB14" s="30" t="s">
        <v>203</v>
      </c>
      <c r="AC14" s="30" t="s">
        <v>203</v>
      </c>
      <c r="AD14" s="30"/>
      <c r="AE14" s="46">
        <f>SUM(Table14[[#This Row],[Autumn Week 1]:[Spring Week 12]])</f>
        <v>44</v>
      </c>
    </row>
    <row r="15" spans="1:31">
      <c r="A15" s="4" t="s">
        <v>219</v>
      </c>
      <c r="B15" s="48" t="str">
        <f>_xlfn.XLOOKUP(Table14[[#This Row],[Module Code]],Table2[Module Code],Table2[Module Title])</f>
        <v>Scientific Programming</v>
      </c>
      <c r="C15" s="43">
        <f>INDEX(Table2[Credits],MATCH(Table14[[#This Row],[Module Code]],Table2[Module Code],0))</f>
        <v>10</v>
      </c>
      <c r="D15" s="43" t="str">
        <f>INDEX(Table2[Semester],MATCH(Table14[[#This Row],[Module Code]],Table2[Module Code],0))</f>
        <v>SEM1</v>
      </c>
      <c r="E15" s="44">
        <f>INDEX(Table2[Contact Time],MATCH(Table14[[#This Row],[Module Code]],Table2[Module Code],0))</f>
        <v>3</v>
      </c>
      <c r="F15" s="11" t="s">
        <v>208</v>
      </c>
      <c r="G15" s="28">
        <v>3</v>
      </c>
      <c r="H15" s="28">
        <v>3</v>
      </c>
      <c r="I15" s="28">
        <v>3</v>
      </c>
      <c r="J15" s="28">
        <v>3</v>
      </c>
      <c r="K15" s="28">
        <v>3</v>
      </c>
      <c r="L15" s="28">
        <v>3</v>
      </c>
      <c r="M15" s="28">
        <v>3</v>
      </c>
      <c r="N15" s="28">
        <v>3</v>
      </c>
      <c r="O15" s="28">
        <v>3</v>
      </c>
      <c r="P15" s="28">
        <v>3</v>
      </c>
      <c r="Q15" s="28"/>
      <c r="R15" s="29"/>
      <c r="S15" s="30" t="s">
        <v>203</v>
      </c>
      <c r="T15" s="30" t="s">
        <v>203</v>
      </c>
      <c r="U15" s="30" t="s">
        <v>203</v>
      </c>
      <c r="V15" s="30" t="s">
        <v>203</v>
      </c>
      <c r="W15" s="30" t="s">
        <v>203</v>
      </c>
      <c r="X15" s="30" t="s">
        <v>203</v>
      </c>
      <c r="Y15" s="30" t="s">
        <v>203</v>
      </c>
      <c r="Z15" s="30" t="s">
        <v>203</v>
      </c>
      <c r="AA15" s="30" t="s">
        <v>203</v>
      </c>
      <c r="AB15" s="30" t="s">
        <v>203</v>
      </c>
      <c r="AC15" s="30" t="s">
        <v>203</v>
      </c>
      <c r="AD15" s="30"/>
      <c r="AE15" s="46">
        <f>SUM(Table14[[#This Row],[Autumn Week 1]:[Spring Week 12]])</f>
        <v>30</v>
      </c>
    </row>
    <row r="16" spans="1:31">
      <c r="A16" s="4" t="s">
        <v>37</v>
      </c>
      <c r="B16" s="48" t="str">
        <f>_xlfn.XLOOKUP(Table14[[#This Row],[Module Code]],Table2[Module Code],Table2[Module Title])</f>
        <v>The Stars and their Planets</v>
      </c>
      <c r="C16" s="43">
        <f>INDEX(Table2[Credits],MATCH(Table14[[#This Row],[Module Code]],Table2[Module Code],0))</f>
        <v>10</v>
      </c>
      <c r="D16" s="43" t="str">
        <f>INDEX(Table2[Semester],MATCH(Table14[[#This Row],[Module Code]],Table2[Module Code],0))</f>
        <v>SEM1</v>
      </c>
      <c r="E16" s="44">
        <f>INDEX(Table2[Contact Time],MATCH(Table14[[#This Row],[Module Code]],Table2[Module Code],0))</f>
        <v>2</v>
      </c>
      <c r="F16" s="11" t="s">
        <v>207</v>
      </c>
      <c r="G16" s="28">
        <v>2</v>
      </c>
      <c r="H16" s="28">
        <v>2</v>
      </c>
      <c r="I16" s="28">
        <v>2</v>
      </c>
      <c r="J16" s="28">
        <v>2</v>
      </c>
      <c r="K16" s="28">
        <v>2</v>
      </c>
      <c r="L16" s="28">
        <v>2</v>
      </c>
      <c r="M16" s="28">
        <v>2</v>
      </c>
      <c r="N16" s="28">
        <v>2</v>
      </c>
      <c r="O16" s="28">
        <v>2</v>
      </c>
      <c r="P16" s="28">
        <v>2</v>
      </c>
      <c r="Q16" s="28">
        <v>2</v>
      </c>
      <c r="R16" s="29"/>
      <c r="S16" s="30" t="s">
        <v>203</v>
      </c>
      <c r="T16" s="30" t="s">
        <v>203</v>
      </c>
      <c r="U16" s="30" t="s">
        <v>203</v>
      </c>
      <c r="V16" s="30" t="s">
        <v>203</v>
      </c>
      <c r="W16" s="30" t="s">
        <v>203</v>
      </c>
      <c r="X16" s="30" t="s">
        <v>203</v>
      </c>
      <c r="Y16" s="30" t="s">
        <v>203</v>
      </c>
      <c r="Z16" s="30" t="s">
        <v>203</v>
      </c>
      <c r="AA16" s="30" t="s">
        <v>203</v>
      </c>
      <c r="AB16" s="30" t="s">
        <v>203</v>
      </c>
      <c r="AC16" s="30" t="s">
        <v>203</v>
      </c>
      <c r="AD16" s="30"/>
      <c r="AE16" s="46">
        <f>SUM(Table14[[#This Row],[Autumn Week 1]:[Spring Week 12]])</f>
        <v>22</v>
      </c>
    </row>
    <row r="17" spans="1:31">
      <c r="A17" s="4" t="s">
        <v>41</v>
      </c>
      <c r="B17" s="48" t="str">
        <f>_xlfn.XLOOKUP(Table14[[#This Row],[Module Code]],Table2[Module Code],Table2[Module Title])</f>
        <v>Pathways to success</v>
      </c>
      <c r="C17" s="43">
        <f>INDEX(Table2[Credits],MATCH(Table14[[#This Row],[Module Code]],Table2[Module Code],0))</f>
        <v>10</v>
      </c>
      <c r="D17" s="43" t="str">
        <f>INDEX(Table2[Semester],MATCH(Table14[[#This Row],[Module Code]],Table2[Module Code],0))</f>
        <v>SEM1</v>
      </c>
      <c r="E17" s="44">
        <f>INDEX(Table2[Contact Time],MATCH(Table14[[#This Row],[Module Code]],Table2[Module Code],0))</f>
        <v>2</v>
      </c>
      <c r="F17" s="11" t="s">
        <v>206</v>
      </c>
      <c r="G17" s="28">
        <v>2</v>
      </c>
      <c r="H17" s="28">
        <v>2</v>
      </c>
      <c r="I17" s="28">
        <v>2</v>
      </c>
      <c r="J17" s="28">
        <v>2</v>
      </c>
      <c r="K17" s="28">
        <v>2</v>
      </c>
      <c r="L17" s="28">
        <v>2</v>
      </c>
      <c r="M17" s="28">
        <v>2</v>
      </c>
      <c r="N17" s="28">
        <v>2</v>
      </c>
      <c r="O17" s="28">
        <v>2</v>
      </c>
      <c r="P17" s="28">
        <v>2</v>
      </c>
      <c r="Q17" s="28">
        <v>2</v>
      </c>
      <c r="R17" s="29"/>
      <c r="S17" s="30" t="s">
        <v>203</v>
      </c>
      <c r="T17" s="30" t="s">
        <v>203</v>
      </c>
      <c r="U17" s="30" t="s">
        <v>203</v>
      </c>
      <c r="V17" s="30" t="s">
        <v>203</v>
      </c>
      <c r="W17" s="30" t="s">
        <v>203</v>
      </c>
      <c r="X17" s="30" t="s">
        <v>203</v>
      </c>
      <c r="Y17" s="30" t="s">
        <v>203</v>
      </c>
      <c r="Z17" s="30" t="s">
        <v>203</v>
      </c>
      <c r="AA17" s="30" t="s">
        <v>203</v>
      </c>
      <c r="AB17" s="30" t="s">
        <v>203</v>
      </c>
      <c r="AC17" s="30" t="s">
        <v>203</v>
      </c>
      <c r="AD17" s="30"/>
      <c r="AE17" s="46">
        <f>SUM(Table14[[#This Row],[Autumn Week 1]:[Spring Week 12]])</f>
        <v>22</v>
      </c>
    </row>
    <row r="18" spans="1:31">
      <c r="A18" s="4" t="s">
        <v>42</v>
      </c>
      <c r="B18" s="48" t="str">
        <f>_xlfn.XLOOKUP(Table14[[#This Row],[Module Code]],Table2[Module Code],Table2[Module Title])</f>
        <v>Biophysics</v>
      </c>
      <c r="C18" s="43">
        <f>INDEX(Table2[Credits],MATCH(Table14[[#This Row],[Module Code]],Table2[Module Code],0))</f>
        <v>10</v>
      </c>
      <c r="D18" s="43" t="str">
        <f>INDEX(Table2[Semester],MATCH(Table14[[#This Row],[Module Code]],Table2[Module Code],0))</f>
        <v>SEM1</v>
      </c>
      <c r="E18" s="44">
        <f>INDEX(Table2[Contact Time],MATCH(Table14[[#This Row],[Module Code]],Table2[Module Code],0))</f>
        <v>2</v>
      </c>
      <c r="F18" s="11" t="s">
        <v>207</v>
      </c>
      <c r="G18" s="28">
        <v>2</v>
      </c>
      <c r="H18" s="28">
        <v>2</v>
      </c>
      <c r="I18" s="28">
        <v>2</v>
      </c>
      <c r="J18" s="28">
        <v>2</v>
      </c>
      <c r="K18" s="28">
        <v>2</v>
      </c>
      <c r="L18" s="28">
        <v>2</v>
      </c>
      <c r="M18" s="28">
        <v>2</v>
      </c>
      <c r="N18" s="28">
        <v>2</v>
      </c>
      <c r="O18" s="28">
        <v>2</v>
      </c>
      <c r="P18" s="28">
        <v>2</v>
      </c>
      <c r="Q18" s="28">
        <v>2</v>
      </c>
      <c r="R18" s="29"/>
      <c r="S18" s="30" t="s">
        <v>203</v>
      </c>
      <c r="T18" s="30" t="s">
        <v>203</v>
      </c>
      <c r="U18" s="30" t="s">
        <v>203</v>
      </c>
      <c r="V18" s="30" t="s">
        <v>203</v>
      </c>
      <c r="W18" s="30" t="s">
        <v>203</v>
      </c>
      <c r="X18" s="30" t="s">
        <v>203</v>
      </c>
      <c r="Y18" s="30" t="s">
        <v>203</v>
      </c>
      <c r="Z18" s="30" t="s">
        <v>203</v>
      </c>
      <c r="AA18" s="30" t="s">
        <v>203</v>
      </c>
      <c r="AB18" s="30" t="s">
        <v>203</v>
      </c>
      <c r="AC18" s="30" t="s">
        <v>203</v>
      </c>
      <c r="AD18" s="30"/>
      <c r="AE18" s="46">
        <f>SUM(Table14[[#This Row],[Autumn Week 1]:[Spring Week 12]])</f>
        <v>22</v>
      </c>
    </row>
    <row r="19" spans="1:31">
      <c r="A19" s="4" t="s">
        <v>47</v>
      </c>
      <c r="B19" s="48" t="str">
        <f>_xlfn.XLOOKUP(Table14[[#This Row],[Module Code]],Table2[Module Code],Table2[Module Title])</f>
        <v>Intermediate Practical Physics </v>
      </c>
      <c r="C19" s="43">
        <f>INDEX(Table2[Credits],MATCH(Table14[[#This Row],[Module Code]],Table2[Module Code],0))</f>
        <v>20</v>
      </c>
      <c r="D19" s="43" t="str">
        <f>INDEX(Table2[Semester],MATCH(Table14[[#This Row],[Module Code]],Table2[Module Code],0))</f>
        <v>SEMD</v>
      </c>
      <c r="E19" s="44">
        <f>INDEX(Table2[Contact Time],MATCH(Table14[[#This Row],[Module Code]],Table2[Module Code],0))</f>
        <v>4</v>
      </c>
      <c r="F19" s="11" t="s">
        <v>208</v>
      </c>
      <c r="G19" s="28">
        <v>4</v>
      </c>
      <c r="H19" s="28">
        <v>4</v>
      </c>
      <c r="I19" s="28">
        <v>4</v>
      </c>
      <c r="J19" s="28">
        <v>4</v>
      </c>
      <c r="K19" s="28">
        <v>4</v>
      </c>
      <c r="L19" s="28">
        <v>4</v>
      </c>
      <c r="M19" s="28">
        <v>4</v>
      </c>
      <c r="N19" s="28">
        <v>4</v>
      </c>
      <c r="O19" s="28">
        <v>4</v>
      </c>
      <c r="P19" s="28">
        <v>4</v>
      </c>
      <c r="Q19" s="28">
        <v>4</v>
      </c>
      <c r="R19" s="29"/>
      <c r="S19" s="30">
        <v>4</v>
      </c>
      <c r="T19" s="30">
        <v>4</v>
      </c>
      <c r="U19" s="30">
        <v>4</v>
      </c>
      <c r="V19" s="30">
        <v>4</v>
      </c>
      <c r="W19" s="30">
        <v>4</v>
      </c>
      <c r="X19" s="30">
        <v>4</v>
      </c>
      <c r="Y19" s="30">
        <v>4</v>
      </c>
      <c r="Z19" s="30">
        <v>4</v>
      </c>
      <c r="AA19" s="30">
        <v>4</v>
      </c>
      <c r="AB19" s="30">
        <v>4</v>
      </c>
      <c r="AC19" s="30">
        <v>4</v>
      </c>
      <c r="AD19" s="30"/>
      <c r="AE19" s="46">
        <f>SUM(Table14[[#This Row],[Autumn Week 1]:[Spring Week 12]])</f>
        <v>88</v>
      </c>
    </row>
    <row r="20" spans="1:31">
      <c r="A20" s="4" t="s">
        <v>49</v>
      </c>
      <c r="B20" s="48" t="str">
        <f>_xlfn.XLOOKUP(Table14[[#This Row],[Module Code]],Table2[Module Code],Table2[Module Title])</f>
        <v>Observational Techniques in Astronomy </v>
      </c>
      <c r="C20" s="43">
        <f>INDEX(Table2[Credits],MATCH(Table14[[#This Row],[Module Code]],Table2[Module Code],0))</f>
        <v>20</v>
      </c>
      <c r="D20" s="43" t="str">
        <f>INDEX(Table2[Semester],MATCH(Table14[[#This Row],[Module Code]],Table2[Module Code],0))</f>
        <v>SEMD</v>
      </c>
      <c r="E20" s="44">
        <f>INDEX(Table2[Contact Time],MATCH(Table14[[#This Row],[Module Code]],Table2[Module Code],0))</f>
        <v>3</v>
      </c>
      <c r="F20" s="11" t="s">
        <v>208</v>
      </c>
      <c r="G20" s="28">
        <v>3</v>
      </c>
      <c r="H20" s="28">
        <v>3</v>
      </c>
      <c r="I20" s="28">
        <v>3</v>
      </c>
      <c r="J20" s="28">
        <v>3</v>
      </c>
      <c r="K20" s="28">
        <v>3</v>
      </c>
      <c r="L20" s="28">
        <v>3</v>
      </c>
      <c r="M20" s="28">
        <v>3</v>
      </c>
      <c r="N20" s="28">
        <v>3</v>
      </c>
      <c r="O20" s="28">
        <v>3</v>
      </c>
      <c r="P20" s="28">
        <v>3</v>
      </c>
      <c r="Q20" s="28">
        <v>3</v>
      </c>
      <c r="R20" s="29"/>
      <c r="S20" s="30">
        <v>3</v>
      </c>
      <c r="T20" s="30">
        <v>3</v>
      </c>
      <c r="U20" s="30">
        <v>3</v>
      </c>
      <c r="V20" s="30">
        <v>3</v>
      </c>
      <c r="W20" s="30">
        <v>3</v>
      </c>
      <c r="X20" s="30">
        <v>3</v>
      </c>
      <c r="Y20" s="30">
        <v>3</v>
      </c>
      <c r="Z20" s="30">
        <v>3</v>
      </c>
      <c r="AA20" s="30">
        <v>3</v>
      </c>
      <c r="AB20" s="30">
        <v>3</v>
      </c>
      <c r="AC20" s="30">
        <v>3</v>
      </c>
      <c r="AD20" s="31"/>
      <c r="AE20" s="46">
        <f>SUM(Table14[[#This Row],[Autumn Week 1]:[Spring Week 12]])</f>
        <v>66</v>
      </c>
    </row>
    <row r="21" spans="1:31">
      <c r="A21" s="3" t="s">
        <v>84</v>
      </c>
      <c r="B21" s="48" t="str">
        <f>_xlfn.XLOOKUP(Table14[[#This Row],[Module Code]],Table2[Module Code],Table2[Module Title])</f>
        <v>Thermal and Statistical Physics </v>
      </c>
      <c r="C21" s="43">
        <f>INDEX(Table2[Credits],MATCH(Table14[[#This Row],[Module Code]],Table2[Module Code],0))</f>
        <v>20</v>
      </c>
      <c r="D21" s="43" t="str">
        <f>INDEX(Table2[Semester],MATCH(Table14[[#This Row],[Module Code]],Table2[Module Code],0))</f>
        <v>SEM2</v>
      </c>
      <c r="E21" s="44">
        <f>INDEX(Table2[Contact Time],MATCH(Table14[[#This Row],[Module Code]],Table2[Module Code],0))</f>
        <v>4</v>
      </c>
      <c r="F21" s="11" t="s">
        <v>207</v>
      </c>
      <c r="G21" s="28" t="s">
        <v>203</v>
      </c>
      <c r="H21" s="28" t="s">
        <v>203</v>
      </c>
      <c r="I21" s="28" t="s">
        <v>203</v>
      </c>
      <c r="J21" s="28" t="s">
        <v>203</v>
      </c>
      <c r="K21" s="28" t="s">
        <v>203</v>
      </c>
      <c r="L21" s="28" t="s">
        <v>203</v>
      </c>
      <c r="M21" s="28" t="s">
        <v>203</v>
      </c>
      <c r="N21" s="28" t="s">
        <v>203</v>
      </c>
      <c r="O21" s="28" t="s">
        <v>203</v>
      </c>
      <c r="P21" s="28" t="s">
        <v>203</v>
      </c>
      <c r="Q21" s="28" t="s">
        <v>203</v>
      </c>
      <c r="R21" s="29"/>
      <c r="S21" s="30">
        <v>4</v>
      </c>
      <c r="T21" s="30">
        <v>4</v>
      </c>
      <c r="U21" s="30">
        <v>4</v>
      </c>
      <c r="V21" s="30">
        <v>4</v>
      </c>
      <c r="W21" s="30">
        <v>4</v>
      </c>
      <c r="X21" s="30">
        <v>4</v>
      </c>
      <c r="Y21" s="30">
        <v>4</v>
      </c>
      <c r="Z21" s="30">
        <v>4</v>
      </c>
      <c r="AA21" s="30">
        <v>4</v>
      </c>
      <c r="AB21" s="30">
        <v>4</v>
      </c>
      <c r="AC21" s="30">
        <v>4</v>
      </c>
      <c r="AD21" s="30"/>
      <c r="AE21" s="46">
        <f>SUM(Table14[[#This Row],[Autumn Week 1]:[Spring Week 12]])</f>
        <v>44</v>
      </c>
    </row>
    <row r="22" spans="1:31">
      <c r="A22" s="3" t="s">
        <v>85</v>
      </c>
      <c r="B22" s="48" t="str">
        <f>_xlfn.XLOOKUP(Table14[[#This Row],[Module Code]],Table2[Module Code],Table2[Module Title])</f>
        <v>Optics</v>
      </c>
      <c r="C22" s="43">
        <f>INDEX(Table2[Credits],MATCH(Table14[[#This Row],[Module Code]],Table2[Module Code],0))</f>
        <v>10</v>
      </c>
      <c r="D22" s="43" t="str">
        <f>INDEX(Table2[Semester],MATCH(Table14[[#This Row],[Module Code]],Table2[Module Code],0))</f>
        <v>SEM2</v>
      </c>
      <c r="E22" s="44">
        <f>INDEX(Table2[Contact Time],MATCH(Table14[[#This Row],[Module Code]],Table2[Module Code],0))</f>
        <v>2</v>
      </c>
      <c r="F22" s="11" t="s">
        <v>206</v>
      </c>
      <c r="G22" s="28" t="s">
        <v>203</v>
      </c>
      <c r="H22" s="28" t="s">
        <v>203</v>
      </c>
      <c r="I22" s="28" t="s">
        <v>203</v>
      </c>
      <c r="J22" s="28" t="s">
        <v>203</v>
      </c>
      <c r="K22" s="28" t="s">
        <v>203</v>
      </c>
      <c r="L22" s="28" t="s">
        <v>203</v>
      </c>
      <c r="M22" s="28" t="s">
        <v>203</v>
      </c>
      <c r="N22" s="28" t="s">
        <v>203</v>
      </c>
      <c r="O22" s="28" t="s">
        <v>203</v>
      </c>
      <c r="P22" s="28" t="s">
        <v>203</v>
      </c>
      <c r="Q22" s="28" t="s">
        <v>203</v>
      </c>
      <c r="R22" s="29"/>
      <c r="S22" s="30">
        <v>2</v>
      </c>
      <c r="T22" s="30">
        <v>2</v>
      </c>
      <c r="U22" s="30">
        <v>2</v>
      </c>
      <c r="V22" s="30">
        <v>2</v>
      </c>
      <c r="W22" s="30">
        <v>2</v>
      </c>
      <c r="X22" s="30">
        <v>2</v>
      </c>
      <c r="Y22" s="30">
        <v>2</v>
      </c>
      <c r="Z22" s="30">
        <v>2</v>
      </c>
      <c r="AA22" s="30">
        <v>2</v>
      </c>
      <c r="AB22" s="30">
        <v>2</v>
      </c>
      <c r="AC22" s="30">
        <v>2</v>
      </c>
      <c r="AD22" s="30"/>
      <c r="AE22" s="46">
        <f>SUM(Table14[[#This Row],[Autumn Week 1]:[Spring Week 12]])</f>
        <v>22</v>
      </c>
    </row>
    <row r="23" spans="1:31">
      <c r="A23" s="3" t="s">
        <v>175</v>
      </c>
      <c r="B23" s="48" t="str">
        <f>_xlfn.XLOOKUP(Table14[[#This Row],[Module Code]],Table2[Module Code],Table2[Module Title])</f>
        <v>Introduction to Condensed Matter Physics</v>
      </c>
      <c r="C23" s="43">
        <f>INDEX(Table2[Credits],MATCH(Table14[[#This Row],[Module Code]],Table2[Module Code],0))</f>
        <v>10</v>
      </c>
      <c r="D23" s="43" t="str">
        <f>INDEX(Table2[Semester],MATCH(Table14[[#This Row],[Module Code]],Table2[Module Code],0))</f>
        <v>SEM2</v>
      </c>
      <c r="E23" s="44">
        <f>INDEX(Table2[Contact Time],MATCH(Table14[[#This Row],[Module Code]],Table2[Module Code],0))</f>
        <v>3</v>
      </c>
      <c r="F23" s="11" t="s">
        <v>207</v>
      </c>
      <c r="G23" s="28" t="s">
        <v>203</v>
      </c>
      <c r="H23" s="28" t="s">
        <v>203</v>
      </c>
      <c r="I23" s="28" t="s">
        <v>203</v>
      </c>
      <c r="J23" s="28" t="s">
        <v>203</v>
      </c>
      <c r="K23" s="28" t="s">
        <v>203</v>
      </c>
      <c r="L23" s="28" t="s">
        <v>203</v>
      </c>
      <c r="M23" s="28" t="s">
        <v>203</v>
      </c>
      <c r="N23" s="28" t="s">
        <v>203</v>
      </c>
      <c r="O23" s="28" t="s">
        <v>203</v>
      </c>
      <c r="P23" s="28" t="s">
        <v>203</v>
      </c>
      <c r="Q23" s="28" t="s">
        <v>203</v>
      </c>
      <c r="R23" s="29"/>
      <c r="S23" s="30">
        <v>3</v>
      </c>
      <c r="T23" s="30">
        <v>3</v>
      </c>
      <c r="U23" s="30">
        <v>3</v>
      </c>
      <c r="V23" s="30">
        <v>3</v>
      </c>
      <c r="W23" s="30">
        <v>3</v>
      </c>
      <c r="X23" s="30">
        <v>3</v>
      </c>
      <c r="Y23" s="30">
        <v>3</v>
      </c>
      <c r="Z23" s="30">
        <v>3</v>
      </c>
      <c r="AA23" s="30">
        <v>3</v>
      </c>
      <c r="AB23" s="30">
        <v>3</v>
      </c>
      <c r="AC23" s="30">
        <v>3</v>
      </c>
      <c r="AD23" s="30"/>
      <c r="AE23" s="46">
        <f>SUM(Table14[[#This Row],[Autumn Week 1]:[Spring Week 12]])</f>
        <v>33</v>
      </c>
    </row>
    <row r="24" spans="1:31">
      <c r="A24" s="3" t="s">
        <v>80</v>
      </c>
      <c r="B24" s="48" t="str">
        <f>_xlfn.XLOOKUP(Table14[[#This Row],[Module Code]],Table2[Module Code],Table2[Module Title])</f>
        <v>Nuclear Medicine</v>
      </c>
      <c r="C24" s="43">
        <f>INDEX(Table2[Credits],MATCH(Table14[[#This Row],[Module Code]],Table2[Module Code],0))</f>
        <v>10</v>
      </c>
      <c r="D24" s="43" t="str">
        <f>INDEX(Table2[Semester],MATCH(Table14[[#This Row],[Module Code]],Table2[Module Code],0))</f>
        <v>SEM2</v>
      </c>
      <c r="E24" s="44">
        <f>INDEX(Table2[Contact Time],MATCH(Table14[[#This Row],[Module Code]],Table2[Module Code],0))</f>
        <v>2</v>
      </c>
      <c r="F24" s="12" t="s">
        <v>207</v>
      </c>
      <c r="G24" s="28" t="s">
        <v>203</v>
      </c>
      <c r="H24" s="28" t="s">
        <v>203</v>
      </c>
      <c r="I24" s="28" t="s">
        <v>203</v>
      </c>
      <c r="J24" s="28" t="s">
        <v>203</v>
      </c>
      <c r="K24" s="28" t="s">
        <v>203</v>
      </c>
      <c r="L24" s="28" t="s">
        <v>203</v>
      </c>
      <c r="M24" s="28" t="s">
        <v>203</v>
      </c>
      <c r="N24" s="28" t="s">
        <v>203</v>
      </c>
      <c r="O24" s="28" t="s">
        <v>203</v>
      </c>
      <c r="P24" s="28" t="s">
        <v>203</v>
      </c>
      <c r="Q24" s="28" t="s">
        <v>203</v>
      </c>
      <c r="R24" s="29"/>
      <c r="S24" s="30">
        <v>2</v>
      </c>
      <c r="T24" s="30">
        <v>2</v>
      </c>
      <c r="U24" s="30">
        <v>2</v>
      </c>
      <c r="V24" s="30">
        <v>2</v>
      </c>
      <c r="W24" s="30">
        <v>2</v>
      </c>
      <c r="X24" s="30">
        <v>2</v>
      </c>
      <c r="Y24" s="30">
        <v>2</v>
      </c>
      <c r="Z24" s="30">
        <v>2</v>
      </c>
      <c r="AA24" s="30">
        <v>2</v>
      </c>
      <c r="AB24" s="30">
        <v>2</v>
      </c>
      <c r="AC24" s="30">
        <v>2</v>
      </c>
      <c r="AD24" s="30"/>
      <c r="AE24" s="46">
        <f>SUM(Table14[[#This Row],[Autumn Week 1]:[Spring Week 12]])</f>
        <v>22</v>
      </c>
    </row>
    <row r="25" spans="1:31">
      <c r="A25" s="3" t="s">
        <v>82</v>
      </c>
      <c r="B25" s="48" t="str">
        <f>_xlfn.XLOOKUP(Table14[[#This Row],[Module Code]],Table2[Module Code],Table2[Module Title])</f>
        <v>Physics in Action: Real-world problem solving</v>
      </c>
      <c r="C25" s="43">
        <f>INDEX(Table2[Credits],MATCH(Table14[[#This Row],[Module Code]],Table2[Module Code],0))</f>
        <v>10</v>
      </c>
      <c r="D25" s="43" t="str">
        <f>INDEX(Table2[Semester],MATCH(Table14[[#This Row],[Module Code]],Table2[Module Code],0))</f>
        <v>SEM2</v>
      </c>
      <c r="E25" s="44">
        <f>INDEX(Table2[Contact Time],MATCH(Table14[[#This Row],[Module Code]],Table2[Module Code],0))</f>
        <v>3</v>
      </c>
      <c r="F25" s="11" t="s">
        <v>206</v>
      </c>
      <c r="G25" s="28" t="s">
        <v>203</v>
      </c>
      <c r="H25" s="28" t="s">
        <v>203</v>
      </c>
      <c r="I25" s="28" t="s">
        <v>203</v>
      </c>
      <c r="J25" s="28" t="s">
        <v>203</v>
      </c>
      <c r="K25" s="28" t="s">
        <v>203</v>
      </c>
      <c r="L25" s="28" t="s">
        <v>203</v>
      </c>
      <c r="M25" s="28" t="s">
        <v>203</v>
      </c>
      <c r="N25" s="28" t="s">
        <v>203</v>
      </c>
      <c r="O25" s="28" t="s">
        <v>203</v>
      </c>
      <c r="P25" s="28" t="s">
        <v>203</v>
      </c>
      <c r="Q25" s="28" t="s">
        <v>203</v>
      </c>
      <c r="R25" s="29"/>
      <c r="S25" s="30">
        <v>3</v>
      </c>
      <c r="T25" s="30">
        <v>3</v>
      </c>
      <c r="U25" s="30">
        <v>3</v>
      </c>
      <c r="V25" s="30">
        <v>3</v>
      </c>
      <c r="W25" s="30">
        <v>3</v>
      </c>
      <c r="X25" s="30">
        <v>3</v>
      </c>
      <c r="Y25" s="30">
        <v>3</v>
      </c>
      <c r="Z25" s="30">
        <v>3</v>
      </c>
      <c r="AA25" s="30">
        <v>3</v>
      </c>
      <c r="AB25" s="30">
        <v>3</v>
      </c>
      <c r="AC25" s="30"/>
      <c r="AD25" s="30"/>
      <c r="AE25" s="46">
        <f>SUM(Table14[[#This Row],[Autumn Week 1]:[Spring Week 12]])</f>
        <v>30</v>
      </c>
    </row>
    <row r="26" spans="1:31">
      <c r="A26" s="3" t="s">
        <v>86</v>
      </c>
      <c r="B26" s="48" t="str">
        <f>_xlfn.XLOOKUP(Table14[[#This Row],[Module Code]],Table2[Module Code],Table2[Module Title])</f>
        <v>Astrophysics in Action: Real-world problem solving</v>
      </c>
      <c r="C26" s="43">
        <f>INDEX(Table2[Credits],MATCH(Table14[[#This Row],[Module Code]],Table2[Module Code],0))</f>
        <v>10</v>
      </c>
      <c r="D26" s="43" t="str">
        <f>INDEX(Table2[Semester],MATCH(Table14[[#This Row],[Module Code]],Table2[Module Code],0))</f>
        <v>SEM2</v>
      </c>
      <c r="E26" s="44">
        <f>INDEX(Table2[Contact Time],MATCH(Table14[[#This Row],[Module Code]],Table2[Module Code],0))</f>
        <v>3</v>
      </c>
      <c r="F26" s="11" t="s">
        <v>206</v>
      </c>
      <c r="G26" s="28" t="s">
        <v>203</v>
      </c>
      <c r="H26" s="28" t="s">
        <v>203</v>
      </c>
      <c r="I26" s="28" t="s">
        <v>203</v>
      </c>
      <c r="J26" s="28" t="s">
        <v>203</v>
      </c>
      <c r="K26" s="28" t="s">
        <v>203</v>
      </c>
      <c r="L26" s="28" t="s">
        <v>203</v>
      </c>
      <c r="M26" s="28" t="s">
        <v>203</v>
      </c>
      <c r="N26" s="28" t="s">
        <v>203</v>
      </c>
      <c r="O26" s="28" t="s">
        <v>203</v>
      </c>
      <c r="P26" s="28" t="s">
        <v>203</v>
      </c>
      <c r="Q26" s="28" t="s">
        <v>203</v>
      </c>
      <c r="R26" s="29"/>
      <c r="S26" s="30">
        <v>3</v>
      </c>
      <c r="T26" s="30">
        <v>3</v>
      </c>
      <c r="U26" s="30">
        <v>3</v>
      </c>
      <c r="V26" s="30">
        <v>3</v>
      </c>
      <c r="W26" s="30">
        <v>3</v>
      </c>
      <c r="X26" s="30">
        <v>3</v>
      </c>
      <c r="Y26" s="30">
        <v>3</v>
      </c>
      <c r="Z26" s="30">
        <v>3</v>
      </c>
      <c r="AA26" s="30">
        <v>3</v>
      </c>
      <c r="AB26" s="30">
        <v>3</v>
      </c>
      <c r="AC26" s="30"/>
      <c r="AD26" s="30"/>
      <c r="AE26" s="46">
        <f>SUM(Table14[[#This Row],[Autumn Week 1]:[Spring Week 12]])</f>
        <v>30</v>
      </c>
    </row>
    <row r="27" spans="1:31">
      <c r="A27" s="4" t="s">
        <v>1</v>
      </c>
      <c r="B27" s="48" t="str">
        <f>_xlfn.XLOOKUP(Table14[[#This Row],[Module Code]],Table2[Module Code],Table2[Module Title])</f>
        <v>Atomic and Nuclear Physics</v>
      </c>
      <c r="C27" s="43">
        <f>INDEX(Table2[Credits],MATCH(Table14[[#This Row],[Module Code]],Table2[Module Code],0))</f>
        <v>20</v>
      </c>
      <c r="D27" s="43" t="str">
        <f>INDEX(Table2[Semester],MATCH(Table14[[#This Row],[Module Code]],Table2[Module Code],0))</f>
        <v>SEM1</v>
      </c>
      <c r="E27" s="44">
        <f>INDEX(Table2[Contact Time],MATCH(Table14[[#This Row],[Module Code]],Table2[Module Code],0))</f>
        <v>4</v>
      </c>
      <c r="F27" s="11" t="s">
        <v>207</v>
      </c>
      <c r="G27" s="28">
        <v>4</v>
      </c>
      <c r="H27" s="28">
        <v>4</v>
      </c>
      <c r="I27" s="28">
        <v>4</v>
      </c>
      <c r="J27" s="28">
        <v>4</v>
      </c>
      <c r="K27" s="28">
        <v>4</v>
      </c>
      <c r="L27" s="28">
        <v>4</v>
      </c>
      <c r="M27" s="28">
        <v>4</v>
      </c>
      <c r="N27" s="28">
        <v>4</v>
      </c>
      <c r="O27" s="28">
        <v>4</v>
      </c>
      <c r="P27" s="28">
        <v>4</v>
      </c>
      <c r="Q27" s="28">
        <v>4</v>
      </c>
      <c r="R27" s="28"/>
      <c r="S27" s="30" t="s">
        <v>203</v>
      </c>
      <c r="T27" s="30" t="s">
        <v>203</v>
      </c>
      <c r="U27" s="30" t="s">
        <v>203</v>
      </c>
      <c r="V27" s="30" t="s">
        <v>203</v>
      </c>
      <c r="W27" s="30" t="s">
        <v>203</v>
      </c>
      <c r="X27" s="30" t="s">
        <v>203</v>
      </c>
      <c r="Y27" s="30" t="s">
        <v>203</v>
      </c>
      <c r="Z27" s="30" t="s">
        <v>203</v>
      </c>
      <c r="AA27" s="30" t="s">
        <v>203</v>
      </c>
      <c r="AB27" s="30" t="s">
        <v>203</v>
      </c>
      <c r="AC27" s="30" t="s">
        <v>203</v>
      </c>
      <c r="AD27" s="30"/>
      <c r="AE27" s="46">
        <f>SUM(Table14[[#This Row],[Autumn Week 1]:[Spring Week 12]])</f>
        <v>44</v>
      </c>
    </row>
    <row r="28" spans="1:31">
      <c r="A28" s="4" t="s">
        <v>233</v>
      </c>
      <c r="B28" s="48" t="str">
        <f>_xlfn.XLOOKUP(Table14[[#This Row],[Module Code]],Table2[Module Code],Table2[Module Title])</f>
        <v>Solid State Physics</v>
      </c>
      <c r="C28" s="43">
        <f>INDEX(Table2[Credits],MATCH(Table14[[#This Row],[Module Code]],Table2[Module Code],0))</f>
        <v>10</v>
      </c>
      <c r="D28" s="43" t="str">
        <f>INDEX(Table2[Semester],MATCH(Table14[[#This Row],[Module Code]],Table2[Module Code],0))</f>
        <v>SEM1</v>
      </c>
      <c r="E28" s="44">
        <f>INDEX(Table2[Contact Time],MATCH(Table14[[#This Row],[Module Code]],Table2[Module Code],0))</f>
        <v>3</v>
      </c>
      <c r="F28" s="11" t="s">
        <v>207</v>
      </c>
      <c r="G28" s="28">
        <v>3</v>
      </c>
      <c r="H28" s="28">
        <v>3</v>
      </c>
      <c r="I28" s="28">
        <v>3</v>
      </c>
      <c r="J28" s="28">
        <v>3</v>
      </c>
      <c r="K28" s="28">
        <v>3</v>
      </c>
      <c r="L28" s="28">
        <v>3</v>
      </c>
      <c r="M28" s="28">
        <v>3</v>
      </c>
      <c r="N28" s="28">
        <v>3</v>
      </c>
      <c r="O28" s="28">
        <v>3</v>
      </c>
      <c r="P28" s="28">
        <v>3</v>
      </c>
      <c r="Q28" s="28">
        <v>3</v>
      </c>
      <c r="R28" s="32"/>
      <c r="S28" s="30" t="s">
        <v>203</v>
      </c>
      <c r="T28" s="30" t="s">
        <v>203</v>
      </c>
      <c r="U28" s="30" t="s">
        <v>203</v>
      </c>
      <c r="V28" s="30" t="s">
        <v>203</v>
      </c>
      <c r="W28" s="30" t="s">
        <v>203</v>
      </c>
      <c r="X28" s="30" t="s">
        <v>203</v>
      </c>
      <c r="Y28" s="30" t="s">
        <v>203</v>
      </c>
      <c r="Z28" s="30" t="s">
        <v>203</v>
      </c>
      <c r="AA28" s="30" t="s">
        <v>203</v>
      </c>
      <c r="AB28" s="30" t="s">
        <v>203</v>
      </c>
      <c r="AC28" s="30" t="s">
        <v>203</v>
      </c>
      <c r="AD28" s="30"/>
      <c r="AE28" s="46">
        <f>SUM(Table14[[#This Row],[Autumn Week 1]:[Spring Week 12]])</f>
        <v>33</v>
      </c>
    </row>
    <row r="29" spans="1:31">
      <c r="A29" s="4" t="s">
        <v>7</v>
      </c>
      <c r="B29" s="48" t="str">
        <f>_xlfn.XLOOKUP(Table14[[#This Row],[Module Code]],Table2[Module Code],Table2[Module Title])</f>
        <v>Computational Physics</v>
      </c>
      <c r="C29" s="43">
        <f>INDEX(Table2[Credits],MATCH(Table14[[#This Row],[Module Code]],Table2[Module Code],0))</f>
        <v>10</v>
      </c>
      <c r="D29" s="43" t="str">
        <f>INDEX(Table2[Semester],MATCH(Table14[[#This Row],[Module Code]],Table2[Module Code],0))</f>
        <v>SEM1</v>
      </c>
      <c r="E29" s="44">
        <f>INDEX(Table2[Contact Time],MATCH(Table14[[#This Row],[Module Code]],Table2[Module Code],0))</f>
        <v>2</v>
      </c>
      <c r="F29" s="11" t="s">
        <v>206</v>
      </c>
      <c r="G29" s="28">
        <v>2</v>
      </c>
      <c r="H29" s="28">
        <v>2</v>
      </c>
      <c r="I29" s="28">
        <v>2</v>
      </c>
      <c r="J29" s="28">
        <v>2</v>
      </c>
      <c r="K29" s="28">
        <v>2</v>
      </c>
      <c r="L29" s="28">
        <v>2</v>
      </c>
      <c r="M29" s="28">
        <v>2</v>
      </c>
      <c r="N29" s="28">
        <v>2</v>
      </c>
      <c r="O29" s="28">
        <v>2</v>
      </c>
      <c r="P29" s="28">
        <v>2</v>
      </c>
      <c r="Q29" s="28">
        <v>2</v>
      </c>
      <c r="R29" s="32"/>
      <c r="S29" s="30" t="s">
        <v>203</v>
      </c>
      <c r="T29" s="30" t="s">
        <v>203</v>
      </c>
      <c r="U29" s="30" t="s">
        <v>203</v>
      </c>
      <c r="V29" s="30" t="s">
        <v>203</v>
      </c>
      <c r="W29" s="30" t="s">
        <v>203</v>
      </c>
      <c r="X29" s="30" t="s">
        <v>203</v>
      </c>
      <c r="Y29" s="30" t="s">
        <v>203</v>
      </c>
      <c r="Z29" s="30" t="s">
        <v>203</v>
      </c>
      <c r="AA29" s="30" t="s">
        <v>203</v>
      </c>
      <c r="AB29" s="30" t="s">
        <v>203</v>
      </c>
      <c r="AC29" s="30" t="s">
        <v>203</v>
      </c>
      <c r="AD29" s="30"/>
      <c r="AE29" s="46">
        <f>SUM(Table14[[#This Row],[Autumn Week 1]:[Spring Week 12]])</f>
        <v>22</v>
      </c>
    </row>
    <row r="30" spans="1:31">
      <c r="A30" s="4" t="s">
        <v>9</v>
      </c>
      <c r="B30" s="48" t="str">
        <f>_xlfn.XLOOKUP(Table14[[#This Row],[Module Code]],Table2[Module Code],Table2[Module Title])</f>
        <v>Formation and Evolution of Stars</v>
      </c>
      <c r="C30" s="43">
        <f>INDEX(Table2[Credits],MATCH(Table14[[#This Row],[Module Code]],Table2[Module Code],0))</f>
        <v>10</v>
      </c>
      <c r="D30" s="43" t="str">
        <f>INDEX(Table2[Semester],MATCH(Table14[[#This Row],[Module Code]],Table2[Module Code],0))</f>
        <v>SEM1</v>
      </c>
      <c r="E30" s="44">
        <f>INDEX(Table2[Contact Time],MATCH(Table14[[#This Row],[Module Code]],Table2[Module Code],0))</f>
        <v>2</v>
      </c>
      <c r="F30" s="11" t="s">
        <v>207</v>
      </c>
      <c r="G30" s="28">
        <v>2</v>
      </c>
      <c r="H30" s="28">
        <v>2</v>
      </c>
      <c r="I30" s="28">
        <v>2</v>
      </c>
      <c r="J30" s="28">
        <v>2</v>
      </c>
      <c r="K30" s="28">
        <v>2</v>
      </c>
      <c r="L30" s="28">
        <v>2</v>
      </c>
      <c r="M30" s="28">
        <v>2</v>
      </c>
      <c r="N30" s="28">
        <v>2</v>
      </c>
      <c r="O30" s="28">
        <v>2</v>
      </c>
      <c r="P30" s="28">
        <v>2</v>
      </c>
      <c r="Q30" s="28">
        <v>2</v>
      </c>
      <c r="R30" s="32"/>
      <c r="S30" s="30" t="s">
        <v>203</v>
      </c>
      <c r="T30" s="30" t="s">
        <v>203</v>
      </c>
      <c r="U30" s="30" t="s">
        <v>203</v>
      </c>
      <c r="V30" s="30" t="s">
        <v>203</v>
      </c>
      <c r="W30" s="30" t="s">
        <v>203</v>
      </c>
      <c r="X30" s="30" t="s">
        <v>203</v>
      </c>
      <c r="Y30" s="30" t="s">
        <v>203</v>
      </c>
      <c r="Z30" s="30" t="s">
        <v>203</v>
      </c>
      <c r="AA30" s="30" t="s">
        <v>203</v>
      </c>
      <c r="AB30" s="30" t="s">
        <v>203</v>
      </c>
      <c r="AC30" s="30" t="s">
        <v>203</v>
      </c>
      <c r="AD30" s="30"/>
      <c r="AE30" s="46">
        <f>SUM(Table14[[#This Row],[Autumn Week 1]:[Spring Week 12]])</f>
        <v>22</v>
      </c>
    </row>
    <row r="31" spans="1:31">
      <c r="A31" s="4" t="s">
        <v>12</v>
      </c>
      <c r="B31" s="48" t="str">
        <f>_xlfn.XLOOKUP(Table14[[#This Row],[Module Code]],Table2[Module Code],Table2[Module Title])</f>
        <v>Environmental Physics</v>
      </c>
      <c r="C31" s="43">
        <f>INDEX(Table2[Credits],MATCH(Table14[[#This Row],[Module Code]],Table2[Module Code],0))</f>
        <v>10</v>
      </c>
      <c r="D31" s="43" t="str">
        <f>INDEX(Table2[Semester],MATCH(Table14[[#This Row],[Module Code]],Table2[Module Code],0))</f>
        <v>SEM1</v>
      </c>
      <c r="E31" s="44">
        <f>INDEX(Table2[Contact Time],MATCH(Table14[[#This Row],[Module Code]],Table2[Module Code],0))</f>
        <v>2</v>
      </c>
      <c r="F31" s="11" t="s">
        <v>206</v>
      </c>
      <c r="G31" s="28">
        <v>2</v>
      </c>
      <c r="H31" s="28">
        <v>2</v>
      </c>
      <c r="I31" s="28">
        <v>2</v>
      </c>
      <c r="J31" s="28">
        <v>2</v>
      </c>
      <c r="K31" s="28">
        <v>2</v>
      </c>
      <c r="L31" s="28">
        <v>2</v>
      </c>
      <c r="M31" s="28">
        <v>2</v>
      </c>
      <c r="N31" s="28">
        <v>2</v>
      </c>
      <c r="O31" s="28">
        <v>2</v>
      </c>
      <c r="P31" s="28">
        <v>2</v>
      </c>
      <c r="Q31" s="28">
        <v>2</v>
      </c>
      <c r="R31" s="32"/>
      <c r="S31" s="30" t="s">
        <v>203</v>
      </c>
      <c r="T31" s="30" t="s">
        <v>203</v>
      </c>
      <c r="U31" s="30" t="s">
        <v>203</v>
      </c>
      <c r="V31" s="30" t="s">
        <v>203</v>
      </c>
      <c r="W31" s="30" t="s">
        <v>203</v>
      </c>
      <c r="X31" s="30" t="s">
        <v>203</v>
      </c>
      <c r="Y31" s="30" t="s">
        <v>203</v>
      </c>
      <c r="Z31" s="30" t="s">
        <v>203</v>
      </c>
      <c r="AA31" s="30" t="s">
        <v>203</v>
      </c>
      <c r="AB31" s="30" t="s">
        <v>203</v>
      </c>
      <c r="AC31" s="30" t="s">
        <v>203</v>
      </c>
      <c r="AD31" s="30"/>
      <c r="AE31" s="46">
        <f>SUM(Table14[[#This Row],[Autumn Week 1]:[Spring Week 12]])</f>
        <v>22</v>
      </c>
    </row>
    <row r="32" spans="1:31">
      <c r="A32" s="4" t="s">
        <v>13</v>
      </c>
      <c r="B32" s="48" t="str">
        <f>_xlfn.XLOOKUP(Table14[[#This Row],[Module Code]],Table2[Module Code],Table2[Module Title])</f>
        <v>Introduction to Magnetic Resonance Imaging</v>
      </c>
      <c r="C32" s="43">
        <f>INDEX(Table2[Credits],MATCH(Table14[[#This Row],[Module Code]],Table2[Module Code],0))</f>
        <v>10</v>
      </c>
      <c r="D32" s="43" t="str">
        <f>INDEX(Table2[Semester],MATCH(Table14[[#This Row],[Module Code]],Table2[Module Code],0))</f>
        <v>SEM1</v>
      </c>
      <c r="E32" s="44">
        <f>INDEX(Table2[Contact Time],MATCH(Table14[[#This Row],[Module Code]],Table2[Module Code],0))</f>
        <v>2</v>
      </c>
      <c r="F32" s="11" t="s">
        <v>207</v>
      </c>
      <c r="G32" s="28">
        <v>2</v>
      </c>
      <c r="H32" s="28">
        <v>2</v>
      </c>
      <c r="I32" s="28">
        <v>2</v>
      </c>
      <c r="J32" s="28">
        <v>2</v>
      </c>
      <c r="K32" s="28">
        <v>2</v>
      </c>
      <c r="L32" s="28">
        <v>2</v>
      </c>
      <c r="M32" s="28">
        <v>2</v>
      </c>
      <c r="N32" s="28">
        <v>2</v>
      </c>
      <c r="O32" s="28">
        <v>2</v>
      </c>
      <c r="P32" s="28">
        <v>2</v>
      </c>
      <c r="Q32" s="28">
        <v>2</v>
      </c>
      <c r="R32" s="32"/>
      <c r="S32" s="30" t="s">
        <v>203</v>
      </c>
      <c r="T32" s="30" t="s">
        <v>203</v>
      </c>
      <c r="U32" s="30" t="s">
        <v>203</v>
      </c>
      <c r="V32" s="30" t="s">
        <v>203</v>
      </c>
      <c r="W32" s="30" t="s">
        <v>203</v>
      </c>
      <c r="X32" s="30" t="s">
        <v>203</v>
      </c>
      <c r="Y32" s="30" t="s">
        <v>203</v>
      </c>
      <c r="Z32" s="30" t="s">
        <v>203</v>
      </c>
      <c r="AA32" s="30" t="s">
        <v>203</v>
      </c>
      <c r="AB32" s="30" t="s">
        <v>203</v>
      </c>
      <c r="AC32" s="30" t="s">
        <v>203</v>
      </c>
      <c r="AD32" s="30"/>
      <c r="AE32" s="46">
        <f>SUM(Table14[[#This Row],[Autumn Week 1]:[Spring Week 12]])</f>
        <v>22</v>
      </c>
    </row>
    <row r="33" spans="1:31">
      <c r="A33" s="4" t="s">
        <v>14</v>
      </c>
      <c r="B33" s="48" t="str">
        <f>_xlfn.XLOOKUP(Table14[[#This Row],[Module Code]],Table2[Module Code],Table2[Module Title])</f>
        <v>Galaxies and Galaxy Evolution</v>
      </c>
      <c r="C33" s="43">
        <f>INDEX(Table2[Credits],MATCH(Table14[[#This Row],[Module Code]],Table2[Module Code],0))</f>
        <v>10</v>
      </c>
      <c r="D33" s="43" t="str">
        <f>INDEX(Table2[Semester],MATCH(Table14[[#This Row],[Module Code]],Table2[Module Code],0))</f>
        <v>SEM1</v>
      </c>
      <c r="E33" s="44">
        <f>INDEX(Table2[Contact Time],MATCH(Table14[[#This Row],[Module Code]],Table2[Module Code],0))</f>
        <v>2</v>
      </c>
      <c r="F33" s="11" t="s">
        <v>207</v>
      </c>
      <c r="G33" s="28">
        <v>2</v>
      </c>
      <c r="H33" s="28">
        <v>2</v>
      </c>
      <c r="I33" s="28">
        <v>2</v>
      </c>
      <c r="J33" s="28">
        <v>2</v>
      </c>
      <c r="K33" s="28">
        <v>2</v>
      </c>
      <c r="L33" s="28">
        <v>2</v>
      </c>
      <c r="M33" s="28">
        <v>2</v>
      </c>
      <c r="N33" s="28">
        <v>2</v>
      </c>
      <c r="O33" s="28">
        <v>2</v>
      </c>
      <c r="P33" s="28">
        <v>2</v>
      </c>
      <c r="Q33" s="28">
        <v>2</v>
      </c>
      <c r="R33" s="32"/>
      <c r="S33" s="30" t="s">
        <v>203</v>
      </c>
      <c r="T33" s="30" t="s">
        <v>203</v>
      </c>
      <c r="U33" s="30" t="s">
        <v>203</v>
      </c>
      <c r="V33" s="30" t="s">
        <v>203</v>
      </c>
      <c r="W33" s="30" t="s">
        <v>203</v>
      </c>
      <c r="X33" s="30" t="s">
        <v>203</v>
      </c>
      <c r="Y33" s="30" t="s">
        <v>203</v>
      </c>
      <c r="Z33" s="30" t="s">
        <v>203</v>
      </c>
      <c r="AA33" s="30" t="s">
        <v>203</v>
      </c>
      <c r="AB33" s="30" t="s">
        <v>203</v>
      </c>
      <c r="AC33" s="30" t="s">
        <v>203</v>
      </c>
      <c r="AD33" s="30"/>
      <c r="AE33" s="46">
        <f>SUM(Table14[[#This Row],[Autumn Week 1]:[Spring Week 12]])</f>
        <v>22</v>
      </c>
    </row>
    <row r="34" spans="1:31" ht="14.65" customHeight="1">
      <c r="A34" s="4" t="s">
        <v>16</v>
      </c>
      <c r="B34" s="48" t="str">
        <f>_xlfn.XLOOKUP(Table14[[#This Row],[Module Code]],Table2[Module Code],Table2[Module Title])</f>
        <v>Theoretical Physics</v>
      </c>
      <c r="C34" s="43">
        <f>INDEX(Table2[Credits],MATCH(Table14[[#This Row],[Module Code]],Table2[Module Code],0))</f>
        <v>10</v>
      </c>
      <c r="D34" s="43" t="str">
        <f>INDEX(Table2[Semester],MATCH(Table14[[#This Row],[Module Code]],Table2[Module Code],0))</f>
        <v>SEM1</v>
      </c>
      <c r="E34" s="44">
        <f>INDEX(Table2[Contact Time],MATCH(Table14[[#This Row],[Module Code]],Table2[Module Code],0))</f>
        <v>2</v>
      </c>
      <c r="F34" s="11" t="s">
        <v>207</v>
      </c>
      <c r="G34" s="28">
        <v>2</v>
      </c>
      <c r="H34" s="28">
        <v>2</v>
      </c>
      <c r="I34" s="28">
        <v>2</v>
      </c>
      <c r="J34" s="28">
        <v>2</v>
      </c>
      <c r="K34" s="28">
        <v>2</v>
      </c>
      <c r="L34" s="28">
        <v>2</v>
      </c>
      <c r="M34" s="28">
        <v>2</v>
      </c>
      <c r="N34" s="28">
        <v>2</v>
      </c>
      <c r="O34" s="28">
        <v>2</v>
      </c>
      <c r="P34" s="28">
        <v>2</v>
      </c>
      <c r="Q34" s="28">
        <v>2</v>
      </c>
      <c r="R34" s="32"/>
      <c r="S34" s="30" t="s">
        <v>203</v>
      </c>
      <c r="T34" s="30" t="s">
        <v>203</v>
      </c>
      <c r="U34" s="30" t="s">
        <v>203</v>
      </c>
      <c r="V34" s="30" t="s">
        <v>203</v>
      </c>
      <c r="W34" s="30" t="s">
        <v>203</v>
      </c>
      <c r="X34" s="30" t="s">
        <v>203</v>
      </c>
      <c r="Y34" s="30" t="s">
        <v>203</v>
      </c>
      <c r="Z34" s="30" t="s">
        <v>203</v>
      </c>
      <c r="AA34" s="30" t="s">
        <v>203</v>
      </c>
      <c r="AB34" s="30" t="s">
        <v>203</v>
      </c>
      <c r="AC34" s="30" t="s">
        <v>203</v>
      </c>
      <c r="AD34" s="30"/>
      <c r="AE34" s="46">
        <f>SUM(Table14[[#This Row],[Autumn Week 1]:[Spring Week 12]])</f>
        <v>22</v>
      </c>
    </row>
    <row r="35" spans="1:31">
      <c r="A35" s="4" t="s">
        <v>22</v>
      </c>
      <c r="B35" s="48" t="str">
        <f>_xlfn.XLOOKUP(Table14[[#This Row],[Module Code]],Table2[Module Code],Table2[Module Title])</f>
        <v>Science Communication</v>
      </c>
      <c r="C35" s="43">
        <f>INDEX(Table2[Credits],MATCH(Table14[[#This Row],[Module Code]],Table2[Module Code],0))</f>
        <v>10</v>
      </c>
      <c r="D35" s="43" t="str">
        <f>INDEX(Table2[Semester],MATCH(Table14[[#This Row],[Module Code]],Table2[Module Code],0))</f>
        <v>SEM1</v>
      </c>
      <c r="E35" s="44">
        <f>INDEX(Table2[Contact Time],MATCH(Table14[[#This Row],[Module Code]],Table2[Module Code],0))</f>
        <v>3</v>
      </c>
      <c r="F35" s="11" t="s">
        <v>206</v>
      </c>
      <c r="G35" s="28">
        <v>3</v>
      </c>
      <c r="H35" s="28">
        <v>3</v>
      </c>
      <c r="I35" s="28">
        <v>3</v>
      </c>
      <c r="J35" s="28">
        <v>3</v>
      </c>
      <c r="K35" s="28">
        <v>3</v>
      </c>
      <c r="L35" s="28">
        <v>3</v>
      </c>
      <c r="M35" s="28">
        <v>3</v>
      </c>
      <c r="N35" s="28">
        <v>3</v>
      </c>
      <c r="O35" s="28">
        <v>3</v>
      </c>
      <c r="P35" s="28">
        <v>3</v>
      </c>
      <c r="Q35" s="28">
        <v>3</v>
      </c>
      <c r="R35" s="29"/>
      <c r="S35" s="30" t="s">
        <v>203</v>
      </c>
      <c r="T35" s="30" t="s">
        <v>203</v>
      </c>
      <c r="U35" s="30" t="s">
        <v>203</v>
      </c>
      <c r="V35" s="30" t="s">
        <v>203</v>
      </c>
      <c r="W35" s="30" t="s">
        <v>203</v>
      </c>
      <c r="X35" s="30" t="s">
        <v>203</v>
      </c>
      <c r="Y35" s="30" t="s">
        <v>203</v>
      </c>
      <c r="Z35" s="30" t="s">
        <v>203</v>
      </c>
      <c r="AA35" s="30" t="s">
        <v>203</v>
      </c>
      <c r="AB35" s="30" t="s">
        <v>203</v>
      </c>
      <c r="AC35" s="30" t="s">
        <v>203</v>
      </c>
      <c r="AD35" s="30"/>
      <c r="AE35" s="46">
        <f>SUM(Table14[[#This Row],[Autumn Week 1]:[Spring Week 12]])</f>
        <v>33</v>
      </c>
    </row>
    <row r="36" spans="1:31">
      <c r="A36" s="8" t="s">
        <v>19</v>
      </c>
      <c r="B36" s="48" t="str">
        <f>_xlfn.XLOOKUP(Table14[[#This Row],[Module Code]],Table2[Module Code],Table2[Module Title])</f>
        <v>Radiation Protection and Diagnostic Radiology Physics</v>
      </c>
      <c r="C36" s="43">
        <f>INDEX(Table2[Credits],MATCH(Table14[[#This Row],[Module Code]],Table2[Module Code],0))</f>
        <v>10</v>
      </c>
      <c r="D36" s="43" t="str">
        <f>INDEX(Table2[Semester],MATCH(Table14[[#This Row],[Module Code]],Table2[Module Code],0))</f>
        <v>SEM1</v>
      </c>
      <c r="E36" s="44">
        <f>INDEX(Table2[Contact Time],MATCH(Table14[[#This Row],[Module Code]],Table2[Module Code],0))</f>
        <v>2</v>
      </c>
      <c r="F36" s="11" t="s">
        <v>207</v>
      </c>
      <c r="G36" s="28">
        <v>2</v>
      </c>
      <c r="H36" s="28">
        <v>2</v>
      </c>
      <c r="I36" s="28">
        <v>2</v>
      </c>
      <c r="J36" s="28">
        <v>2</v>
      </c>
      <c r="K36" s="28">
        <v>2</v>
      </c>
      <c r="L36" s="28">
        <v>2</v>
      </c>
      <c r="M36" s="28">
        <v>2</v>
      </c>
      <c r="N36" s="28">
        <v>2</v>
      </c>
      <c r="O36" s="28">
        <v>2</v>
      </c>
      <c r="P36" s="28">
        <v>2</v>
      </c>
      <c r="Q36" s="28">
        <v>2</v>
      </c>
      <c r="R36" s="32"/>
      <c r="S36" s="30" t="s">
        <v>203</v>
      </c>
      <c r="T36" s="30" t="s">
        <v>203</v>
      </c>
      <c r="U36" s="30" t="s">
        <v>203</v>
      </c>
      <c r="V36" s="30" t="s">
        <v>203</v>
      </c>
      <c r="W36" s="30" t="s">
        <v>203</v>
      </c>
      <c r="X36" s="30" t="s">
        <v>203</v>
      </c>
      <c r="Y36" s="30" t="s">
        <v>203</v>
      </c>
      <c r="Z36" s="30" t="s">
        <v>203</v>
      </c>
      <c r="AA36" s="30" t="s">
        <v>203</v>
      </c>
      <c r="AB36" s="30" t="s">
        <v>203</v>
      </c>
      <c r="AC36" s="30" t="s">
        <v>203</v>
      </c>
      <c r="AD36" s="30"/>
      <c r="AE36" s="46">
        <f>SUM(Table14[[#This Row],[Autumn Week 1]:[Spring Week 12]])</f>
        <v>22</v>
      </c>
    </row>
    <row r="37" spans="1:31">
      <c r="A37" s="3" t="s">
        <v>97</v>
      </c>
      <c r="B37" s="48" t="str">
        <f>_xlfn.XLOOKUP(Table14[[#This Row],[Module Code]],Table2[Module Code],Table2[Module Title])</f>
        <v>Particle Physics and Special Relativity</v>
      </c>
      <c r="C37" s="43">
        <f>INDEX(Table2[Credits],MATCH(Table14[[#This Row],[Module Code]],Table2[Module Code],0))</f>
        <v>20</v>
      </c>
      <c r="D37" s="43" t="str">
        <f>INDEX(Table2[Semester],MATCH(Table14[[#This Row],[Module Code]],Table2[Module Code],0))</f>
        <v>SEM2</v>
      </c>
      <c r="E37" s="44">
        <f>INDEX(Table2[Contact Time],MATCH(Table14[[#This Row],[Module Code]],Table2[Module Code],0))</f>
        <v>4</v>
      </c>
      <c r="F37" s="11" t="s">
        <v>207</v>
      </c>
      <c r="G37" s="28" t="s">
        <v>203</v>
      </c>
      <c r="H37" s="28" t="s">
        <v>203</v>
      </c>
      <c r="I37" s="28" t="s">
        <v>203</v>
      </c>
      <c r="J37" s="28" t="s">
        <v>203</v>
      </c>
      <c r="K37" s="28" t="s">
        <v>203</v>
      </c>
      <c r="L37" s="28" t="s">
        <v>203</v>
      </c>
      <c r="M37" s="28" t="s">
        <v>203</v>
      </c>
      <c r="N37" s="28" t="s">
        <v>203</v>
      </c>
      <c r="O37" s="28" t="s">
        <v>203</v>
      </c>
      <c r="P37" s="28" t="s">
        <v>203</v>
      </c>
      <c r="Q37" s="28" t="s">
        <v>203</v>
      </c>
      <c r="R37" s="29"/>
      <c r="S37" s="30">
        <v>4</v>
      </c>
      <c r="T37" s="30">
        <v>4</v>
      </c>
      <c r="U37" s="30">
        <v>4</v>
      </c>
      <c r="V37" s="30">
        <v>4</v>
      </c>
      <c r="W37" s="30">
        <v>4</v>
      </c>
      <c r="X37" s="30">
        <v>4</v>
      </c>
      <c r="Y37" s="30">
        <v>4</v>
      </c>
      <c r="Z37" s="30">
        <v>4</v>
      </c>
      <c r="AA37" s="30">
        <v>4</v>
      </c>
      <c r="AB37" s="30">
        <v>4</v>
      </c>
      <c r="AC37" s="30">
        <v>4</v>
      </c>
      <c r="AD37" s="30"/>
      <c r="AE37" s="46">
        <f>SUM(Table14[[#This Row],[Autumn Week 1]:[Spring Week 12]])</f>
        <v>44</v>
      </c>
    </row>
    <row r="38" spans="1:31">
      <c r="A38" s="3" t="s">
        <v>177</v>
      </c>
      <c r="B38" s="48" t="str">
        <f>_xlfn.XLOOKUP(Table14[[#This Row],[Module Code]],Table2[Module Code],Table2[Module Title])</f>
        <v>Semiconductor Devices and Applications</v>
      </c>
      <c r="C38" s="43">
        <f>INDEX(Table2[Credits],MATCH(Table14[[#This Row],[Module Code]],Table2[Module Code],0))</f>
        <v>10</v>
      </c>
      <c r="D38" s="43" t="str">
        <f>INDEX(Table2[Semester],MATCH(Table14[[#This Row],[Module Code]],Table2[Module Code],0))</f>
        <v>SEM2</v>
      </c>
      <c r="E38" s="44">
        <f>INDEX(Table2[Contact Time],MATCH(Table14[[#This Row],[Module Code]],Table2[Module Code],0))</f>
        <v>2</v>
      </c>
      <c r="F38" s="12" t="s">
        <v>207</v>
      </c>
      <c r="G38" s="28" t="s">
        <v>203</v>
      </c>
      <c r="H38" s="28" t="s">
        <v>203</v>
      </c>
      <c r="I38" s="28" t="s">
        <v>203</v>
      </c>
      <c r="J38" s="28" t="s">
        <v>203</v>
      </c>
      <c r="K38" s="28" t="s">
        <v>203</v>
      </c>
      <c r="L38" s="28" t="s">
        <v>203</v>
      </c>
      <c r="M38" s="28" t="s">
        <v>203</v>
      </c>
      <c r="N38" s="28" t="s">
        <v>203</v>
      </c>
      <c r="O38" s="28" t="s">
        <v>203</v>
      </c>
      <c r="P38" s="28" t="s">
        <v>203</v>
      </c>
      <c r="Q38" s="28" t="s">
        <v>203</v>
      </c>
      <c r="R38" s="29"/>
      <c r="S38" s="30">
        <v>2</v>
      </c>
      <c r="T38" s="30">
        <v>2</v>
      </c>
      <c r="U38" s="30">
        <v>2</v>
      </c>
      <c r="V38" s="30">
        <v>2</v>
      </c>
      <c r="W38" s="30">
        <v>2</v>
      </c>
      <c r="X38" s="30">
        <v>2</v>
      </c>
      <c r="Y38" s="30">
        <v>2</v>
      </c>
      <c r="Z38" s="30">
        <v>2</v>
      </c>
      <c r="AA38" s="30">
        <v>2</v>
      </c>
      <c r="AB38" s="30">
        <v>2</v>
      </c>
      <c r="AC38" s="30">
        <v>2</v>
      </c>
      <c r="AD38" s="30"/>
      <c r="AE38" s="46">
        <f>SUM(Table14[[#This Row],[Autumn Week 1]:[Spring Week 12]])</f>
        <v>22</v>
      </c>
    </row>
    <row r="39" spans="1:31">
      <c r="A39" s="3" t="s">
        <v>178</v>
      </c>
      <c r="B39" s="48" t="str">
        <f>_xlfn.XLOOKUP(Table14[[#This Row],[Module Code]],Table2[Module Code],Table2[Module Title])</f>
        <v>High-Energy Astrophysics</v>
      </c>
      <c r="C39" s="43">
        <f>INDEX(Table2[Credits],MATCH(Table14[[#This Row],[Module Code]],Table2[Module Code],0))</f>
        <v>10</v>
      </c>
      <c r="D39" s="43" t="str">
        <f>INDEX(Table2[Semester],MATCH(Table14[[#This Row],[Module Code]],Table2[Module Code],0))</f>
        <v>SEM2</v>
      </c>
      <c r="E39" s="44">
        <f>INDEX(Table2[Contact Time],MATCH(Table14[[#This Row],[Module Code]],Table2[Module Code],0))</f>
        <v>2</v>
      </c>
      <c r="F39" s="12" t="s">
        <v>207</v>
      </c>
      <c r="G39" s="28" t="s">
        <v>203</v>
      </c>
      <c r="H39" s="28" t="s">
        <v>203</v>
      </c>
      <c r="I39" s="28" t="s">
        <v>203</v>
      </c>
      <c r="J39" s="28" t="s">
        <v>203</v>
      </c>
      <c r="K39" s="28" t="s">
        <v>203</v>
      </c>
      <c r="L39" s="28" t="s">
        <v>203</v>
      </c>
      <c r="M39" s="28" t="s">
        <v>203</v>
      </c>
      <c r="N39" s="28" t="s">
        <v>203</v>
      </c>
      <c r="O39" s="28" t="s">
        <v>203</v>
      </c>
      <c r="P39" s="28" t="s">
        <v>203</v>
      </c>
      <c r="Q39" s="28" t="s">
        <v>203</v>
      </c>
      <c r="R39" s="29"/>
      <c r="S39" s="30">
        <v>2</v>
      </c>
      <c r="T39" s="30">
        <v>2</v>
      </c>
      <c r="U39" s="30">
        <v>2</v>
      </c>
      <c r="V39" s="30">
        <v>2</v>
      </c>
      <c r="W39" s="30">
        <v>2</v>
      </c>
      <c r="X39" s="30">
        <v>2</v>
      </c>
      <c r="Y39" s="30">
        <v>2</v>
      </c>
      <c r="Z39" s="30">
        <v>2</v>
      </c>
      <c r="AA39" s="30">
        <v>2</v>
      </c>
      <c r="AB39" s="30">
        <v>2</v>
      </c>
      <c r="AC39" s="30">
        <v>2</v>
      </c>
      <c r="AD39" s="30"/>
      <c r="AE39" s="46">
        <f>SUM(Table14[[#This Row],[Autumn Week 1]:[Spring Week 12]])</f>
        <v>22</v>
      </c>
    </row>
    <row r="40" spans="1:31">
      <c r="A40" s="3" t="s">
        <v>99</v>
      </c>
      <c r="B40" s="48" t="str">
        <f>_xlfn.XLOOKUP(Table14[[#This Row],[Module Code]],Table2[Module Code],Table2[Module Title])</f>
        <v>Commercialising Innovation</v>
      </c>
      <c r="C40" s="43">
        <f>INDEX(Table2[Credits],MATCH(Table14[[#This Row],[Module Code]],Table2[Module Code],0))</f>
        <v>10</v>
      </c>
      <c r="D40" s="43" t="str">
        <f>INDEX(Table2[Semester],MATCH(Table14[[#This Row],[Module Code]],Table2[Module Code],0))</f>
        <v>SEM2</v>
      </c>
      <c r="E40" s="44">
        <f>INDEX(Table2[Contact Time],MATCH(Table14[[#This Row],[Module Code]],Table2[Module Code],0))</f>
        <v>2</v>
      </c>
      <c r="F40" s="12" t="s">
        <v>206</v>
      </c>
      <c r="G40" s="28" t="s">
        <v>203</v>
      </c>
      <c r="H40" s="28" t="s">
        <v>203</v>
      </c>
      <c r="I40" s="28" t="s">
        <v>203</v>
      </c>
      <c r="J40" s="28" t="s">
        <v>203</v>
      </c>
      <c r="K40" s="28" t="s">
        <v>203</v>
      </c>
      <c r="L40" s="28" t="s">
        <v>203</v>
      </c>
      <c r="M40" s="28" t="s">
        <v>203</v>
      </c>
      <c r="N40" s="28" t="s">
        <v>203</v>
      </c>
      <c r="O40" s="28" t="s">
        <v>203</v>
      </c>
      <c r="P40" s="28" t="s">
        <v>203</v>
      </c>
      <c r="Q40" s="28" t="s">
        <v>203</v>
      </c>
      <c r="R40" s="29"/>
      <c r="S40" s="30">
        <v>2</v>
      </c>
      <c r="T40" s="30">
        <v>2</v>
      </c>
      <c r="U40" s="30">
        <v>2</v>
      </c>
      <c r="V40" s="30">
        <v>2</v>
      </c>
      <c r="W40" s="30">
        <v>2</v>
      </c>
      <c r="X40" s="30">
        <v>2</v>
      </c>
      <c r="Y40" s="30">
        <v>2</v>
      </c>
      <c r="Z40" s="30">
        <v>2</v>
      </c>
      <c r="AA40" s="30">
        <v>2</v>
      </c>
      <c r="AB40" s="30">
        <v>2</v>
      </c>
      <c r="AC40" s="30">
        <v>2</v>
      </c>
      <c r="AD40" s="30"/>
      <c r="AE40" s="46">
        <f>SUM(Table14[[#This Row],[Autumn Week 1]:[Spring Week 12]])</f>
        <v>22</v>
      </c>
    </row>
    <row r="41" spans="1:31">
      <c r="A41" s="3" t="s">
        <v>91</v>
      </c>
      <c r="B41" s="48" t="str">
        <f>_xlfn.XLOOKUP(Table14[[#This Row],[Module Code]],Table2[Module Code],Table2[Module Title])</f>
        <v>Cosmology</v>
      </c>
      <c r="C41" s="43">
        <f>INDEX(Table2[Credits],MATCH(Table14[[#This Row],[Module Code]],Table2[Module Code],0))</f>
        <v>10</v>
      </c>
      <c r="D41" s="43" t="str">
        <f>INDEX(Table2[Semester],MATCH(Table14[[#This Row],[Module Code]],Table2[Module Code],0))</f>
        <v>SEM2</v>
      </c>
      <c r="E41" s="44">
        <f>INDEX(Table2[Contact Time],MATCH(Table14[[#This Row],[Module Code]],Table2[Module Code],0))</f>
        <v>2</v>
      </c>
      <c r="F41" s="12" t="s">
        <v>207</v>
      </c>
      <c r="G41" s="28" t="s">
        <v>203</v>
      </c>
      <c r="H41" s="28" t="s">
        <v>203</v>
      </c>
      <c r="I41" s="28" t="s">
        <v>203</v>
      </c>
      <c r="J41" s="28" t="s">
        <v>203</v>
      </c>
      <c r="K41" s="28" t="s">
        <v>203</v>
      </c>
      <c r="L41" s="28" t="s">
        <v>203</v>
      </c>
      <c r="M41" s="28" t="s">
        <v>203</v>
      </c>
      <c r="N41" s="28" t="s">
        <v>203</v>
      </c>
      <c r="O41" s="28" t="s">
        <v>203</v>
      </c>
      <c r="P41" s="28" t="s">
        <v>203</v>
      </c>
      <c r="Q41" s="28" t="s">
        <v>203</v>
      </c>
      <c r="R41" s="29"/>
      <c r="S41" s="30">
        <v>2</v>
      </c>
      <c r="T41" s="30">
        <v>2</v>
      </c>
      <c r="U41" s="30">
        <v>2</v>
      </c>
      <c r="V41" s="30">
        <v>2</v>
      </c>
      <c r="W41" s="30">
        <v>2</v>
      </c>
      <c r="X41" s="30">
        <v>2</v>
      </c>
      <c r="Y41" s="30">
        <v>2</v>
      </c>
      <c r="Z41" s="30">
        <v>2</v>
      </c>
      <c r="AA41" s="30">
        <v>2</v>
      </c>
      <c r="AB41" s="30">
        <v>2</v>
      </c>
      <c r="AC41" s="30">
        <v>2</v>
      </c>
      <c r="AD41" s="30"/>
      <c r="AE41" s="46">
        <f>SUM(Table14[[#This Row],[Autumn Week 1]:[Spring Week 12]])</f>
        <v>22</v>
      </c>
    </row>
    <row r="42" spans="1:31">
      <c r="A42" s="3" t="s">
        <v>93</v>
      </c>
      <c r="B42" s="48" t="str">
        <f>_xlfn.XLOOKUP(Table14[[#This Row],[Module Code]],Table2[Module Code],Table2[Module Title])</f>
        <v>Non-Ionising Radiation in Medicine</v>
      </c>
      <c r="C42" s="43">
        <f>INDEX(Table2[Credits],MATCH(Table14[[#This Row],[Module Code]],Table2[Module Code],0))</f>
        <v>10</v>
      </c>
      <c r="D42" s="43" t="str">
        <f>INDEX(Table2[Semester],MATCH(Table14[[#This Row],[Module Code]],Table2[Module Code],0))</f>
        <v>SEM2</v>
      </c>
      <c r="E42" s="44">
        <f>INDEX(Table2[Contact Time],MATCH(Table14[[#This Row],[Module Code]],Table2[Module Code],0))</f>
        <v>2</v>
      </c>
      <c r="F42" s="12" t="s">
        <v>207</v>
      </c>
      <c r="G42" s="28" t="s">
        <v>203</v>
      </c>
      <c r="H42" s="28" t="s">
        <v>203</v>
      </c>
      <c r="I42" s="28" t="s">
        <v>203</v>
      </c>
      <c r="J42" s="28" t="s">
        <v>203</v>
      </c>
      <c r="K42" s="28" t="s">
        <v>203</v>
      </c>
      <c r="L42" s="28" t="s">
        <v>203</v>
      </c>
      <c r="M42" s="28" t="s">
        <v>203</v>
      </c>
      <c r="N42" s="28" t="s">
        <v>203</v>
      </c>
      <c r="O42" s="28" t="s">
        <v>203</v>
      </c>
      <c r="P42" s="28" t="s">
        <v>203</v>
      </c>
      <c r="Q42" s="28" t="s">
        <v>203</v>
      </c>
      <c r="R42" s="29"/>
      <c r="S42" s="30">
        <v>2</v>
      </c>
      <c r="T42" s="30">
        <v>2</v>
      </c>
      <c r="U42" s="30">
        <v>2</v>
      </c>
      <c r="V42" s="30">
        <v>2</v>
      </c>
      <c r="W42" s="30">
        <v>2</v>
      </c>
      <c r="X42" s="30">
        <v>2</v>
      </c>
      <c r="Y42" s="30">
        <v>2</v>
      </c>
      <c r="Z42" s="30">
        <v>2</v>
      </c>
      <c r="AA42" s="30">
        <v>2</v>
      </c>
      <c r="AB42" s="30">
        <v>2</v>
      </c>
      <c r="AC42" s="30">
        <v>2</v>
      </c>
      <c r="AD42" s="30"/>
      <c r="AE42" s="46">
        <f>SUM(Table14[[#This Row],[Autumn Week 1]:[Spring Week 12]])</f>
        <v>22</v>
      </c>
    </row>
    <row r="43" spans="1:31">
      <c r="A43" s="3" t="s">
        <v>95</v>
      </c>
      <c r="B43" s="48" t="str">
        <f>_xlfn.XLOOKUP(Table14[[#This Row],[Module Code]],Table2[Module Code],Table2[Module Title])</f>
        <v>Radiotherapy</v>
      </c>
      <c r="C43" s="43">
        <f>INDEX(Table2[Credits],MATCH(Table14[[#This Row],[Module Code]],Table2[Module Code],0))</f>
        <v>10</v>
      </c>
      <c r="D43" s="43" t="str">
        <f>INDEX(Table2[Semester],MATCH(Table14[[#This Row],[Module Code]],Table2[Module Code],0))</f>
        <v>SEM2</v>
      </c>
      <c r="E43" s="44">
        <f>INDEX(Table2[Contact Time],MATCH(Table14[[#This Row],[Module Code]],Table2[Module Code],0))</f>
        <v>2</v>
      </c>
      <c r="F43" s="12" t="s">
        <v>207</v>
      </c>
      <c r="G43" s="28" t="s">
        <v>203</v>
      </c>
      <c r="H43" s="28" t="s">
        <v>203</v>
      </c>
      <c r="I43" s="28" t="s">
        <v>203</v>
      </c>
      <c r="J43" s="28" t="s">
        <v>203</v>
      </c>
      <c r="K43" s="28" t="s">
        <v>203</v>
      </c>
      <c r="L43" s="28" t="s">
        <v>203</v>
      </c>
      <c r="M43" s="28" t="s">
        <v>203</v>
      </c>
      <c r="N43" s="28" t="s">
        <v>203</v>
      </c>
      <c r="O43" s="28" t="s">
        <v>203</v>
      </c>
      <c r="P43" s="28" t="s">
        <v>203</v>
      </c>
      <c r="Q43" s="28" t="s">
        <v>203</v>
      </c>
      <c r="R43" s="29"/>
      <c r="S43" s="30">
        <v>2</v>
      </c>
      <c r="T43" s="30">
        <v>2</v>
      </c>
      <c r="U43" s="30">
        <v>2</v>
      </c>
      <c r="V43" s="30">
        <v>2</v>
      </c>
      <c r="W43" s="30">
        <v>2</v>
      </c>
      <c r="X43" s="30">
        <v>2</v>
      </c>
      <c r="Y43" s="30">
        <v>2</v>
      </c>
      <c r="Z43" s="30">
        <v>2</v>
      </c>
      <c r="AA43" s="30">
        <v>2</v>
      </c>
      <c r="AB43" s="30">
        <v>2</v>
      </c>
      <c r="AC43" s="30">
        <v>2</v>
      </c>
      <c r="AD43" s="30"/>
      <c r="AE43" s="46">
        <f>SUM(Table14[[#This Row],[Autumn Week 1]:[Spring Week 12]])</f>
        <v>22</v>
      </c>
    </row>
    <row r="44" spans="1:31">
      <c r="A44" s="9" t="s">
        <v>43</v>
      </c>
      <c r="B44" s="48" t="str">
        <f>_xlfn.XLOOKUP(Table14[[#This Row],[Module Code]],Table2[Module Code],Table2[Module Title])</f>
        <v>Physics Project</v>
      </c>
      <c r="C44" s="45">
        <f>INDEX(Table2[Credits],MATCH(Table14[[#This Row],[Module Code]],Table2[Module Code],0))</f>
        <v>30</v>
      </c>
      <c r="D44" s="45" t="str">
        <f>INDEX(Table2[Semester],MATCH(Table14[[#This Row],[Module Code]],Table2[Module Code],0))</f>
        <v>SEMD</v>
      </c>
      <c r="E44" s="44">
        <f>INDEX(Table2[Contact Time],MATCH(Table14[[#This Row],[Module Code]],Table2[Module Code],0))</f>
        <v>0.5</v>
      </c>
      <c r="F44" s="13" t="s">
        <v>206</v>
      </c>
      <c r="G44" s="11">
        <f>INDEX(Table2[Contact Time],MATCH(Table14[[#This Row],[Module Code]],Table2[Module Code],0))</f>
        <v>0.5</v>
      </c>
      <c r="H44" s="28">
        <v>1.5</v>
      </c>
      <c r="I44" s="28">
        <v>0.5</v>
      </c>
      <c r="J44" s="28">
        <v>0.5</v>
      </c>
      <c r="K44" s="28">
        <v>0.5</v>
      </c>
      <c r="L44" s="28">
        <v>0.5</v>
      </c>
      <c r="M44" s="28">
        <v>0.5</v>
      </c>
      <c r="N44" s="28">
        <v>0.5</v>
      </c>
      <c r="O44" s="28">
        <v>0.5</v>
      </c>
      <c r="P44" s="28">
        <v>0.5</v>
      </c>
      <c r="Q44" s="28">
        <v>0.5</v>
      </c>
      <c r="R44" s="28"/>
      <c r="S44" s="30">
        <v>0.5</v>
      </c>
      <c r="T44" s="30">
        <v>0.5</v>
      </c>
      <c r="U44" s="30">
        <v>0.5</v>
      </c>
      <c r="V44" s="30">
        <v>0.5</v>
      </c>
      <c r="W44" s="30">
        <v>0.5</v>
      </c>
      <c r="X44" s="30">
        <v>0.5</v>
      </c>
      <c r="Y44" s="30">
        <v>0.5</v>
      </c>
      <c r="Z44" s="30">
        <v>0.5</v>
      </c>
      <c r="AA44" s="30">
        <v>0.5</v>
      </c>
      <c r="AB44" s="30">
        <v>2</v>
      </c>
      <c r="AC44" s="30">
        <v>0.5</v>
      </c>
      <c r="AD44" s="30">
        <v>0.5</v>
      </c>
      <c r="AE44" s="46">
        <f>SUM(Table14[[#This Row],[Autumn Week 1]:[Spring Week 12]])</f>
        <v>14</v>
      </c>
    </row>
    <row r="45" spans="1:31">
      <c r="A45" s="4" t="s">
        <v>54</v>
      </c>
      <c r="B45" s="48" t="str">
        <f>_xlfn.XLOOKUP(Table14[[#This Row],[Module Code]],Table2[Module Code],Table2[Module Title])</f>
        <v>Introduction to General Relativity</v>
      </c>
      <c r="C45" s="43">
        <f>INDEX(Table2[Credits],MATCH(Table14[[#This Row],[Module Code]],Table2[Module Code],0))</f>
        <v>10</v>
      </c>
      <c r="D45" s="43" t="str">
        <f>INDEX(Table2[Semester],MATCH(Table14[[#This Row],[Module Code]],Table2[Module Code],0))</f>
        <v>SEM1</v>
      </c>
      <c r="E45" s="44">
        <f>INDEX(Table2[Contact Time],MATCH(Table14[[#This Row],[Module Code]],Table2[Module Code],0))</f>
        <v>2</v>
      </c>
      <c r="F45" s="11" t="s">
        <v>207</v>
      </c>
      <c r="G45" s="28">
        <v>2</v>
      </c>
      <c r="H45" s="28">
        <v>2</v>
      </c>
      <c r="I45" s="28">
        <v>2</v>
      </c>
      <c r="J45" s="28">
        <v>2</v>
      </c>
      <c r="K45" s="28">
        <v>2</v>
      </c>
      <c r="L45" s="28">
        <v>2</v>
      </c>
      <c r="M45" s="28">
        <v>2</v>
      </c>
      <c r="N45" s="28">
        <v>2</v>
      </c>
      <c r="O45" s="28">
        <v>2</v>
      </c>
      <c r="P45" s="28">
        <v>2</v>
      </c>
      <c r="Q45" s="28">
        <v>2</v>
      </c>
      <c r="R45" s="29"/>
      <c r="S45" s="30" t="s">
        <v>203</v>
      </c>
      <c r="T45" s="30" t="s">
        <v>203</v>
      </c>
      <c r="U45" s="30" t="s">
        <v>203</v>
      </c>
      <c r="V45" s="30" t="s">
        <v>203</v>
      </c>
      <c r="W45" s="30" t="s">
        <v>203</v>
      </c>
      <c r="X45" s="30" t="s">
        <v>203</v>
      </c>
      <c r="Y45" s="30" t="s">
        <v>203</v>
      </c>
      <c r="Z45" s="30" t="s">
        <v>203</v>
      </c>
      <c r="AA45" s="30" t="s">
        <v>203</v>
      </c>
      <c r="AB45" s="30" t="s">
        <v>203</v>
      </c>
      <c r="AC45" s="30" t="s">
        <v>203</v>
      </c>
      <c r="AD45" s="30"/>
      <c r="AE45" s="46">
        <f>SUM(Table14[[#This Row],[Autumn Week 1]:[Spring Week 12]])</f>
        <v>22</v>
      </c>
    </row>
    <row r="46" spans="1:31">
      <c r="A46" s="4" t="s">
        <v>223</v>
      </c>
      <c r="B46" s="48" t="str">
        <f>_xlfn.XLOOKUP(Table14[[#This Row],[Module Code]],Table2[Module Code],Table2[Module Title])</f>
        <v>Electromagnetic Radiation Detection</v>
      </c>
      <c r="C46" s="43">
        <f>INDEX(Table2[Credits],MATCH(Table14[[#This Row],[Module Code]],Table2[Module Code],0))</f>
        <v>10</v>
      </c>
      <c r="D46" s="43" t="str">
        <f>INDEX(Table2[Semester],MATCH(Table14[[#This Row],[Module Code]],Table2[Module Code],0))</f>
        <v>SEM1</v>
      </c>
      <c r="E46" s="44">
        <f>INDEX(Table2[Contact Time],MATCH(Table14[[#This Row],[Module Code]],Table2[Module Code],0))</f>
        <v>2</v>
      </c>
      <c r="F46" s="11" t="s">
        <v>207</v>
      </c>
      <c r="G46" s="28">
        <v>2</v>
      </c>
      <c r="H46" s="28">
        <v>2</v>
      </c>
      <c r="I46" s="28">
        <v>2</v>
      </c>
      <c r="J46" s="28">
        <v>2</v>
      </c>
      <c r="K46" s="28">
        <v>2</v>
      </c>
      <c r="L46" s="28">
        <v>2</v>
      </c>
      <c r="M46" s="28">
        <v>2</v>
      </c>
      <c r="N46" s="28">
        <v>2</v>
      </c>
      <c r="O46" s="28">
        <v>2</v>
      </c>
      <c r="P46" s="28">
        <v>2</v>
      </c>
      <c r="Q46" s="28">
        <v>2</v>
      </c>
      <c r="R46" s="29"/>
      <c r="S46" s="30" t="s">
        <v>203</v>
      </c>
      <c r="T46" s="30" t="s">
        <v>203</v>
      </c>
      <c r="U46" s="30" t="s">
        <v>203</v>
      </c>
      <c r="V46" s="30" t="s">
        <v>203</v>
      </c>
      <c r="W46" s="30" t="s">
        <v>203</v>
      </c>
      <c r="X46" s="30" t="s">
        <v>203</v>
      </c>
      <c r="Y46" s="30" t="s">
        <v>203</v>
      </c>
      <c r="Z46" s="30" t="s">
        <v>203</v>
      </c>
      <c r="AA46" s="30" t="s">
        <v>203</v>
      </c>
      <c r="AB46" s="30" t="s">
        <v>203</v>
      </c>
      <c r="AC46" s="30" t="s">
        <v>203</v>
      </c>
      <c r="AD46" s="30"/>
      <c r="AE46" s="46">
        <f>SUM(Table14[[#This Row],[Autumn Week 1]:[Spring Week 12]])</f>
        <v>22</v>
      </c>
    </row>
    <row r="47" spans="1:31">
      <c r="A47" s="4" t="s">
        <v>56</v>
      </c>
      <c r="B47" s="48" t="str">
        <f>_xlfn.XLOOKUP(Table14[[#This Row],[Module Code]],Table2[Module Code],Table2[Module Title])</f>
        <v>Semiconductor Fabrication</v>
      </c>
      <c r="C47" s="43">
        <f>INDEX(Table2[Credits],MATCH(Table14[[#This Row],[Module Code]],Table2[Module Code],0))</f>
        <v>10</v>
      </c>
      <c r="D47" s="43" t="str">
        <f>INDEX(Table2[Semester],MATCH(Table14[[#This Row],[Module Code]],Table2[Module Code],0))</f>
        <v>SEM1</v>
      </c>
      <c r="E47" s="44">
        <f>INDEX(Table2[Contact Time],MATCH(Table14[[#This Row],[Module Code]],Table2[Module Code],0))</f>
        <v>2</v>
      </c>
      <c r="F47" s="11" t="s">
        <v>207</v>
      </c>
      <c r="G47" s="28">
        <v>2</v>
      </c>
      <c r="H47" s="28">
        <v>2</v>
      </c>
      <c r="I47" s="28">
        <v>2</v>
      </c>
      <c r="J47" s="28">
        <v>2</v>
      </c>
      <c r="K47" s="28">
        <v>2</v>
      </c>
      <c r="L47" s="28">
        <v>2</v>
      </c>
      <c r="M47" s="28">
        <v>2</v>
      </c>
      <c r="N47" s="28">
        <v>2</v>
      </c>
      <c r="O47" s="28">
        <v>2</v>
      </c>
      <c r="P47" s="28">
        <v>2</v>
      </c>
      <c r="Q47" s="28">
        <v>2</v>
      </c>
      <c r="R47" s="29"/>
      <c r="S47" s="30" t="s">
        <v>203</v>
      </c>
      <c r="T47" s="30" t="s">
        <v>203</v>
      </c>
      <c r="U47" s="30" t="s">
        <v>203</v>
      </c>
      <c r="V47" s="30" t="s">
        <v>203</v>
      </c>
      <c r="W47" s="30" t="s">
        <v>203</v>
      </c>
      <c r="X47" s="30" t="s">
        <v>203</v>
      </c>
      <c r="Y47" s="30" t="s">
        <v>203</v>
      </c>
      <c r="Z47" s="30" t="s">
        <v>203</v>
      </c>
      <c r="AA47" s="30" t="s">
        <v>203</v>
      </c>
      <c r="AB47" s="30" t="s">
        <v>203</v>
      </c>
      <c r="AC47" s="30" t="s">
        <v>203</v>
      </c>
      <c r="AD47" s="30"/>
      <c r="AE47" s="46">
        <f>SUM(Table14[[#This Row],[Autumn Week 1]:[Spring Week 12]])</f>
        <v>22</v>
      </c>
    </row>
    <row r="48" spans="1:31">
      <c r="A48" s="4" t="s">
        <v>58</v>
      </c>
      <c r="B48" s="48" t="str">
        <f>_xlfn.XLOOKUP(Table14[[#This Row],[Module Code]],Table2[Module Code],Table2[Module Title])</f>
        <v>Quantum Theory of Many-Particle Systems</v>
      </c>
      <c r="C48" s="43">
        <f>INDEX(Table2[Credits],MATCH(Table14[[#This Row],[Module Code]],Table2[Module Code],0))</f>
        <v>10</v>
      </c>
      <c r="D48" s="43" t="str">
        <f>INDEX(Table2[Semester],MATCH(Table14[[#This Row],[Module Code]],Table2[Module Code],0))</f>
        <v>SEM1</v>
      </c>
      <c r="E48" s="44">
        <f>INDEX(Table2[Contact Time],MATCH(Table14[[#This Row],[Module Code]],Table2[Module Code],0))</f>
        <v>3</v>
      </c>
      <c r="F48" s="11" t="s">
        <v>207</v>
      </c>
      <c r="G48" s="28">
        <v>3</v>
      </c>
      <c r="H48" s="28">
        <v>3</v>
      </c>
      <c r="I48" s="28">
        <v>3</v>
      </c>
      <c r="J48" s="28">
        <v>3</v>
      </c>
      <c r="K48" s="28">
        <v>3</v>
      </c>
      <c r="L48" s="28">
        <v>3</v>
      </c>
      <c r="M48" s="28">
        <v>3</v>
      </c>
      <c r="N48" s="28">
        <v>3</v>
      </c>
      <c r="O48" s="28">
        <v>3</v>
      </c>
      <c r="P48" s="28">
        <v>3</v>
      </c>
      <c r="Q48" s="28">
        <v>3</v>
      </c>
      <c r="R48" s="29"/>
      <c r="S48" s="30" t="s">
        <v>203</v>
      </c>
      <c r="T48" s="30" t="s">
        <v>203</v>
      </c>
      <c r="U48" s="30" t="s">
        <v>203</v>
      </c>
      <c r="V48" s="30" t="s">
        <v>203</v>
      </c>
      <c r="W48" s="30" t="s">
        <v>203</v>
      </c>
      <c r="X48" s="30" t="s">
        <v>203</v>
      </c>
      <c r="Y48" s="30" t="s">
        <v>203</v>
      </c>
      <c r="Z48" s="30" t="s">
        <v>203</v>
      </c>
      <c r="AA48" s="30" t="s">
        <v>203</v>
      </c>
      <c r="AB48" s="30" t="s">
        <v>203</v>
      </c>
      <c r="AC48" s="30" t="s">
        <v>203</v>
      </c>
      <c r="AD48" s="30"/>
      <c r="AE48" s="46">
        <f>SUM(Table14[[#This Row],[Autumn Week 1]:[Spring Week 12]])</f>
        <v>33</v>
      </c>
    </row>
    <row r="49" spans="1:31" ht="14.65" customHeight="1">
      <c r="A49" s="4" t="s">
        <v>61</v>
      </c>
      <c r="B49" s="48" t="str">
        <f>_xlfn.XLOOKUP(Table14[[#This Row],[Module Code]],Table2[Module Code],Table2[Module Title])</f>
        <v>Data Science</v>
      </c>
      <c r="C49" s="43">
        <f>INDEX(Table2[Credits],MATCH(Table14[[#This Row],[Module Code]],Table2[Module Code],0))</f>
        <v>10</v>
      </c>
      <c r="D49" s="43" t="str">
        <f>INDEX(Table2[Semester],MATCH(Table14[[#This Row],[Module Code]],Table2[Module Code],0))</f>
        <v>SEM1</v>
      </c>
      <c r="E49" s="44">
        <f>INDEX(Table2[Contact Time],MATCH(Table14[[#This Row],[Module Code]],Table2[Module Code],0))</f>
        <v>2</v>
      </c>
      <c r="F49" s="11" t="s">
        <v>206</v>
      </c>
      <c r="G49" s="28">
        <v>2</v>
      </c>
      <c r="H49" s="28">
        <v>2</v>
      </c>
      <c r="I49" s="28">
        <v>2</v>
      </c>
      <c r="J49" s="28">
        <v>2</v>
      </c>
      <c r="K49" s="28">
        <v>2</v>
      </c>
      <c r="L49" s="28">
        <v>2</v>
      </c>
      <c r="M49" s="28">
        <v>2</v>
      </c>
      <c r="N49" s="28">
        <v>2</v>
      </c>
      <c r="O49" s="28">
        <v>2</v>
      </c>
      <c r="P49" s="28">
        <v>2</v>
      </c>
      <c r="Q49" s="28">
        <v>2</v>
      </c>
      <c r="R49" s="29"/>
      <c r="S49" s="30" t="s">
        <v>203</v>
      </c>
      <c r="T49" s="30" t="s">
        <v>203</v>
      </c>
      <c r="U49" s="30" t="s">
        <v>203</v>
      </c>
      <c r="V49" s="30" t="s">
        <v>203</v>
      </c>
      <c r="W49" s="30" t="s">
        <v>203</v>
      </c>
      <c r="X49" s="30" t="s">
        <v>203</v>
      </c>
      <c r="Y49" s="30" t="s">
        <v>203</v>
      </c>
      <c r="Z49" s="30" t="s">
        <v>203</v>
      </c>
      <c r="AA49" s="30" t="s">
        <v>203</v>
      </c>
      <c r="AB49" s="30" t="s">
        <v>203</v>
      </c>
      <c r="AC49" s="30" t="s">
        <v>203</v>
      </c>
      <c r="AD49" s="30"/>
      <c r="AE49" s="46">
        <f>SUM(Table14[[#This Row],[Autumn Week 1]:[Spring Week 12]])</f>
        <v>22</v>
      </c>
    </row>
    <row r="50" spans="1:31">
      <c r="A50" s="4" t="s">
        <v>63</v>
      </c>
      <c r="B50" s="48" t="str">
        <f>_xlfn.XLOOKUP(Table14[[#This Row],[Module Code]],Table2[Module Code],Table2[Module Title])</f>
        <v>Gravitational-wave Detectors</v>
      </c>
      <c r="C50" s="43">
        <f>INDEX(Table2[Credits],MATCH(Table14[[#This Row],[Module Code]],Table2[Module Code],0))</f>
        <v>10</v>
      </c>
      <c r="D50" s="43" t="str">
        <f>INDEX(Table2[Semester],MATCH(Table14[[#This Row],[Module Code]],Table2[Module Code],0))</f>
        <v>SEM1</v>
      </c>
      <c r="E50" s="44">
        <f>INDEX(Table2[Contact Time],MATCH(Table14[[#This Row],[Module Code]],Table2[Module Code],0))</f>
        <v>2</v>
      </c>
      <c r="F50" s="11" t="s">
        <v>207</v>
      </c>
      <c r="G50" s="28">
        <v>2</v>
      </c>
      <c r="H50" s="28">
        <v>2</v>
      </c>
      <c r="I50" s="28">
        <v>2</v>
      </c>
      <c r="J50" s="28">
        <v>2</v>
      </c>
      <c r="K50" s="28">
        <v>2</v>
      </c>
      <c r="L50" s="28">
        <v>2</v>
      </c>
      <c r="M50" s="28">
        <v>2</v>
      </c>
      <c r="N50" s="28">
        <v>2</v>
      </c>
      <c r="O50" s="28">
        <v>2</v>
      </c>
      <c r="P50" s="28">
        <v>2</v>
      </c>
      <c r="Q50" s="28">
        <v>2</v>
      </c>
      <c r="R50" s="29"/>
      <c r="S50" s="30" t="s">
        <v>203</v>
      </c>
      <c r="T50" s="30" t="s">
        <v>203</v>
      </c>
      <c r="U50" s="30" t="s">
        <v>203</v>
      </c>
      <c r="V50" s="30" t="s">
        <v>203</v>
      </c>
      <c r="W50" s="30" t="s">
        <v>203</v>
      </c>
      <c r="X50" s="30" t="s">
        <v>203</v>
      </c>
      <c r="Y50" s="30" t="s">
        <v>203</v>
      </c>
      <c r="Z50" s="30" t="s">
        <v>203</v>
      </c>
      <c r="AA50" s="30" t="s">
        <v>203</v>
      </c>
      <c r="AB50" s="30" t="s">
        <v>203</v>
      </c>
      <c r="AC50" s="30" t="s">
        <v>203</v>
      </c>
      <c r="AD50" s="30"/>
      <c r="AE50" s="46">
        <f>SUM(Table14[[#This Row],[Autumn Week 1]:[Spring Week 12]])</f>
        <v>22</v>
      </c>
    </row>
    <row r="51" spans="1:31" ht="14.65" customHeight="1">
      <c r="A51" s="3" t="s">
        <v>179</v>
      </c>
      <c r="B51" s="48" t="str">
        <f>_xlfn.XLOOKUP(Table14[[#This Row],[Module Code]],Table2[Module Code],Table2[Module Title])</f>
        <v>Low dimensional semiconductor devices</v>
      </c>
      <c r="C51" s="43">
        <f>INDEX(Table2[Credits],MATCH(Table14[[#This Row],[Module Code]],Table2[Module Code],0))</f>
        <v>10</v>
      </c>
      <c r="D51" s="43" t="str">
        <f>INDEX(Table2[Semester],MATCH(Table14[[#This Row],[Module Code]],Table2[Module Code],0))</f>
        <v>SEM2</v>
      </c>
      <c r="E51" s="44">
        <f>INDEX(Table2[Contact Time],MATCH(Table14[[#This Row],[Module Code]],Table2[Module Code],0))</f>
        <v>2</v>
      </c>
      <c r="F51" s="12" t="s">
        <v>207</v>
      </c>
      <c r="G51" s="28" t="s">
        <v>203</v>
      </c>
      <c r="H51" s="28" t="s">
        <v>203</v>
      </c>
      <c r="I51" s="28" t="s">
        <v>203</v>
      </c>
      <c r="J51" s="28" t="s">
        <v>203</v>
      </c>
      <c r="K51" s="28" t="s">
        <v>203</v>
      </c>
      <c r="L51" s="28" t="s">
        <v>203</v>
      </c>
      <c r="M51" s="28" t="s">
        <v>203</v>
      </c>
      <c r="N51" s="28" t="s">
        <v>203</v>
      </c>
      <c r="O51" s="28" t="s">
        <v>203</v>
      </c>
      <c r="P51" s="28" t="s">
        <v>203</v>
      </c>
      <c r="Q51" s="28" t="s">
        <v>203</v>
      </c>
      <c r="R51" s="29"/>
      <c r="S51" s="30">
        <v>2</v>
      </c>
      <c r="T51" s="30">
        <v>2</v>
      </c>
      <c r="U51" s="30">
        <v>2</v>
      </c>
      <c r="V51" s="30">
        <v>2</v>
      </c>
      <c r="W51" s="30">
        <v>2</v>
      </c>
      <c r="X51" s="30">
        <v>2</v>
      </c>
      <c r="Y51" s="30">
        <v>2</v>
      </c>
      <c r="Z51" s="30">
        <v>2</v>
      </c>
      <c r="AA51" s="30">
        <v>2</v>
      </c>
      <c r="AB51" s="30">
        <v>2</v>
      </c>
      <c r="AC51" s="30">
        <v>2</v>
      </c>
      <c r="AD51" s="30"/>
      <c r="AE51" s="46">
        <f>SUM(Table14[[#This Row],[Autumn Week 1]:[Spring Week 12]])</f>
        <v>22</v>
      </c>
    </row>
    <row r="52" spans="1:31">
      <c r="A52" s="3" t="s">
        <v>180</v>
      </c>
      <c r="B52" s="48" t="str">
        <f>_xlfn.XLOOKUP(Table14[[#This Row],[Module Code]],Table2[Module Code],Table2[Module Title])</f>
        <v>Advanced GR and Gravitational Waves</v>
      </c>
      <c r="C52" s="43">
        <f>INDEX(Table2[Credits],MATCH(Table14[[#This Row],[Module Code]],Table2[Module Code],0))</f>
        <v>10</v>
      </c>
      <c r="D52" s="43" t="str">
        <f>INDEX(Table2[Semester],MATCH(Table14[[#This Row],[Module Code]],Table2[Module Code],0))</f>
        <v>SEM2</v>
      </c>
      <c r="E52" s="44">
        <f>INDEX(Table2[Contact Time],MATCH(Table14[[#This Row],[Module Code]],Table2[Module Code],0))</f>
        <v>2</v>
      </c>
      <c r="F52" s="12" t="s">
        <v>207</v>
      </c>
      <c r="G52" s="28" t="s">
        <v>203</v>
      </c>
      <c r="H52" s="28" t="s">
        <v>203</v>
      </c>
      <c r="I52" s="28" t="s">
        <v>203</v>
      </c>
      <c r="J52" s="28" t="s">
        <v>203</v>
      </c>
      <c r="K52" s="28" t="s">
        <v>203</v>
      </c>
      <c r="L52" s="28" t="s">
        <v>203</v>
      </c>
      <c r="M52" s="28" t="s">
        <v>203</v>
      </c>
      <c r="N52" s="28" t="s">
        <v>203</v>
      </c>
      <c r="O52" s="28" t="s">
        <v>203</v>
      </c>
      <c r="P52" s="28" t="s">
        <v>203</v>
      </c>
      <c r="Q52" s="28" t="s">
        <v>203</v>
      </c>
      <c r="R52" s="29"/>
      <c r="S52" s="30">
        <v>2</v>
      </c>
      <c r="T52" s="30">
        <v>2</v>
      </c>
      <c r="U52" s="30">
        <v>2</v>
      </c>
      <c r="V52" s="30">
        <v>2</v>
      </c>
      <c r="W52" s="30">
        <v>2</v>
      </c>
      <c r="X52" s="30">
        <v>2</v>
      </c>
      <c r="Y52" s="30">
        <v>2</v>
      </c>
      <c r="Z52" s="30">
        <v>2</v>
      </c>
      <c r="AA52" s="30">
        <v>2</v>
      </c>
      <c r="AB52" s="30">
        <v>2</v>
      </c>
      <c r="AC52" s="30">
        <v>2</v>
      </c>
      <c r="AD52" s="30"/>
      <c r="AE52" s="46">
        <f>SUM(Table14[[#This Row],[Autumn Week 1]:[Spring Week 12]])</f>
        <v>22</v>
      </c>
    </row>
    <row r="53" spans="1:31">
      <c r="A53" s="3" t="s">
        <v>181</v>
      </c>
      <c r="B53" s="48" t="str">
        <f>_xlfn.XLOOKUP(Table14[[#This Row],[Module Code]],Table2[Module Code],Table2[Module Title])</f>
        <v>Physics and Reality</v>
      </c>
      <c r="C53" s="43">
        <f>INDEX(Table2[Credits],MATCH(Table14[[#This Row],[Module Code]],Table2[Module Code],0))</f>
        <v>10</v>
      </c>
      <c r="D53" s="43" t="str">
        <f>INDEX(Table2[Semester],MATCH(Table14[[#This Row],[Module Code]],Table2[Module Code],0))</f>
        <v>SEM2</v>
      </c>
      <c r="E53" s="44">
        <f>INDEX(Table2[Contact Time],MATCH(Table14[[#This Row],[Module Code]],Table2[Module Code],0))</f>
        <v>2</v>
      </c>
      <c r="F53" s="11" t="s">
        <v>206</v>
      </c>
      <c r="G53" s="28" t="s">
        <v>203</v>
      </c>
      <c r="H53" s="28" t="s">
        <v>203</v>
      </c>
      <c r="I53" s="28" t="s">
        <v>203</v>
      </c>
      <c r="J53" s="28" t="s">
        <v>203</v>
      </c>
      <c r="K53" s="28" t="s">
        <v>203</v>
      </c>
      <c r="L53" s="28" t="s">
        <v>203</v>
      </c>
      <c r="M53" s="28" t="s">
        <v>203</v>
      </c>
      <c r="N53" s="28" t="s">
        <v>203</v>
      </c>
      <c r="O53" s="28" t="s">
        <v>203</v>
      </c>
      <c r="P53" s="28" t="s">
        <v>203</v>
      </c>
      <c r="Q53" s="28" t="s">
        <v>203</v>
      </c>
      <c r="R53" s="29"/>
      <c r="S53" s="30">
        <v>2</v>
      </c>
      <c r="T53" s="30">
        <v>2</v>
      </c>
      <c r="U53" s="30">
        <v>2</v>
      </c>
      <c r="V53" s="30">
        <v>2</v>
      </c>
      <c r="W53" s="30">
        <v>2</v>
      </c>
      <c r="X53" s="30">
        <v>2</v>
      </c>
      <c r="Y53" s="30">
        <v>2</v>
      </c>
      <c r="Z53" s="30">
        <v>2</v>
      </c>
      <c r="AA53" s="30">
        <v>2</v>
      </c>
      <c r="AB53" s="30">
        <v>2</v>
      </c>
      <c r="AC53" s="30">
        <v>2</v>
      </c>
      <c r="AD53" s="30"/>
      <c r="AE53" s="46">
        <f>SUM(Table14[[#This Row],[Autumn Week 1]:[Spring Week 12]])</f>
        <v>22</v>
      </c>
    </row>
    <row r="54" spans="1:31">
      <c r="A54" s="3" t="s">
        <v>182</v>
      </c>
      <c r="B54" s="48" t="str">
        <f>_xlfn.XLOOKUP(Table14[[#This Row],[Module Code]],Table2[Module Code],Table2[Module Title])</f>
        <v>Energy and Gas in Interstellar Space</v>
      </c>
      <c r="C54" s="43">
        <f>INDEX(Table2[Credits],MATCH(Table14[[#This Row],[Module Code]],Table2[Module Code],0))</f>
        <v>10</v>
      </c>
      <c r="D54" s="43" t="str">
        <f>INDEX(Table2[Semester],MATCH(Table14[[#This Row],[Module Code]],Table2[Module Code],0))</f>
        <v>SEM2</v>
      </c>
      <c r="E54" s="44">
        <f>INDEX(Table2[Contact Time],MATCH(Table14[[#This Row],[Module Code]],Table2[Module Code],0))</f>
        <v>2</v>
      </c>
      <c r="F54" s="11" t="s">
        <v>207</v>
      </c>
      <c r="G54" s="28" t="s">
        <v>203</v>
      </c>
      <c r="H54" s="28" t="s">
        <v>203</v>
      </c>
      <c r="I54" s="28" t="s">
        <v>203</v>
      </c>
      <c r="J54" s="28" t="s">
        <v>203</v>
      </c>
      <c r="K54" s="28" t="s">
        <v>203</v>
      </c>
      <c r="L54" s="28" t="s">
        <v>203</v>
      </c>
      <c r="M54" s="28" t="s">
        <v>203</v>
      </c>
      <c r="N54" s="28" t="s">
        <v>203</v>
      </c>
      <c r="O54" s="28" t="s">
        <v>203</v>
      </c>
      <c r="P54" s="28" t="s">
        <v>203</v>
      </c>
      <c r="Q54" s="28" t="s">
        <v>203</v>
      </c>
      <c r="R54" s="29"/>
      <c r="S54" s="30">
        <v>2</v>
      </c>
      <c r="T54" s="30">
        <v>2</v>
      </c>
      <c r="U54" s="30">
        <v>2</v>
      </c>
      <c r="V54" s="30">
        <v>2</v>
      </c>
      <c r="W54" s="30">
        <v>2</v>
      </c>
      <c r="X54" s="30">
        <v>2</v>
      </c>
      <c r="Y54" s="30">
        <v>2</v>
      </c>
      <c r="Z54" s="30">
        <v>2</v>
      </c>
      <c r="AA54" s="30">
        <v>2</v>
      </c>
      <c r="AB54" s="30">
        <v>2</v>
      </c>
      <c r="AC54" s="30">
        <v>2</v>
      </c>
      <c r="AD54" s="30"/>
      <c r="AE54" s="46">
        <f>SUM(Table14[[#This Row],[Autumn Week 1]:[Spring Week 12]])</f>
        <v>22</v>
      </c>
    </row>
    <row r="55" spans="1:31">
      <c r="A55" s="3" t="s">
        <v>104</v>
      </c>
      <c r="B55" s="48" t="str">
        <f>_xlfn.XLOOKUP(Table14[[#This Row],[Module Code]],Table2[Module Code],Table2[Module Title])</f>
        <v>Observational Gravitational Wave Astronomy</v>
      </c>
      <c r="C55" s="43">
        <f>INDEX(Table2[Credits],MATCH(Table14[[#This Row],[Module Code]],Table2[Module Code],0))</f>
        <v>10</v>
      </c>
      <c r="D55" s="43" t="str">
        <f>INDEX(Table2[Semester],MATCH(Table14[[#This Row],[Module Code]],Table2[Module Code],0))</f>
        <v>SEM2</v>
      </c>
      <c r="E55" s="44">
        <f>INDEX(Table2[Contact Time],MATCH(Table14[[#This Row],[Module Code]],Table2[Module Code],0))</f>
        <v>3</v>
      </c>
      <c r="F55" s="12" t="s">
        <v>206</v>
      </c>
      <c r="G55" s="28" t="s">
        <v>203</v>
      </c>
      <c r="H55" s="28" t="s">
        <v>203</v>
      </c>
      <c r="I55" s="28" t="s">
        <v>203</v>
      </c>
      <c r="J55" s="28" t="s">
        <v>203</v>
      </c>
      <c r="K55" s="28" t="s">
        <v>203</v>
      </c>
      <c r="L55" s="28" t="s">
        <v>203</v>
      </c>
      <c r="M55" s="28" t="s">
        <v>203</v>
      </c>
      <c r="N55" s="28" t="s">
        <v>203</v>
      </c>
      <c r="O55" s="28" t="s">
        <v>203</v>
      </c>
      <c r="P55" s="28" t="s">
        <v>203</v>
      </c>
      <c r="Q55" s="28" t="s">
        <v>203</v>
      </c>
      <c r="R55" s="29"/>
      <c r="S55" s="30">
        <v>3</v>
      </c>
      <c r="T55" s="30">
        <v>3</v>
      </c>
      <c r="U55" s="30">
        <v>3</v>
      </c>
      <c r="V55" s="30">
        <v>3</v>
      </c>
      <c r="W55" s="30">
        <v>3</v>
      </c>
      <c r="X55" s="30">
        <v>3</v>
      </c>
      <c r="Y55" s="30">
        <v>3</v>
      </c>
      <c r="Z55" s="30">
        <v>3</v>
      </c>
      <c r="AA55" s="30">
        <v>3</v>
      </c>
      <c r="AB55" s="30">
        <v>3</v>
      </c>
      <c r="AC55" s="30">
        <v>3</v>
      </c>
      <c r="AD55" s="30"/>
      <c r="AE55" s="46">
        <f>SUM(Table14[[#This Row],[Autumn Week 1]:[Spring Week 12]])</f>
        <v>33</v>
      </c>
    </row>
    <row r="56" spans="1:31">
      <c r="A56" s="3" t="s">
        <v>224</v>
      </c>
      <c r="B56" s="48" t="str">
        <f>_xlfn.XLOOKUP(Table14[[#This Row],[Module Code]],Table2[Module Code],Table2[Module Title])</f>
        <v>Quantum Statistical Mechanics</v>
      </c>
      <c r="C56" s="43">
        <f>INDEX(Table2[Credits],MATCH(Table14[[#This Row],[Module Code]],Table2[Module Code],0))</f>
        <v>10</v>
      </c>
      <c r="D56" s="43" t="str">
        <f>INDEX(Table2[Semester],MATCH(Table14[[#This Row],[Module Code]],Table2[Module Code],0))</f>
        <v>SEM2</v>
      </c>
      <c r="E56" s="44">
        <f>INDEX(Table2[Contact Time],MATCH(Table14[[#This Row],[Module Code]],Table2[Module Code],0))</f>
        <v>2</v>
      </c>
      <c r="F56" s="11" t="s">
        <v>207</v>
      </c>
      <c r="G56" s="28" t="s">
        <v>203</v>
      </c>
      <c r="H56" s="28" t="s">
        <v>203</v>
      </c>
      <c r="I56" s="28" t="s">
        <v>203</v>
      </c>
      <c r="J56" s="28" t="s">
        <v>203</v>
      </c>
      <c r="K56" s="28" t="s">
        <v>203</v>
      </c>
      <c r="L56" s="28" t="s">
        <v>203</v>
      </c>
      <c r="M56" s="28" t="s">
        <v>203</v>
      </c>
      <c r="N56" s="28" t="s">
        <v>203</v>
      </c>
      <c r="O56" s="28" t="s">
        <v>203</v>
      </c>
      <c r="P56" s="28" t="s">
        <v>203</v>
      </c>
      <c r="Q56" s="28" t="s">
        <v>203</v>
      </c>
      <c r="R56" s="29"/>
      <c r="S56" s="30">
        <v>2</v>
      </c>
      <c r="T56" s="30">
        <v>2</v>
      </c>
      <c r="U56" s="30">
        <v>2</v>
      </c>
      <c r="V56" s="30">
        <v>2</v>
      </c>
      <c r="W56" s="30">
        <v>2</v>
      </c>
      <c r="X56" s="30">
        <v>2</v>
      </c>
      <c r="Y56" s="30">
        <v>2</v>
      </c>
      <c r="Z56" s="30">
        <v>2</v>
      </c>
      <c r="AA56" s="30">
        <v>2</v>
      </c>
      <c r="AB56" s="30">
        <v>2</v>
      </c>
      <c r="AC56" s="30">
        <v>2</v>
      </c>
      <c r="AD56" s="30"/>
      <c r="AE56" s="46">
        <f>SUM(Table14[[#This Row],[Autumn Week 1]:[Spring Week 12]])</f>
        <v>22</v>
      </c>
    </row>
    <row r="57" spans="1:31">
      <c r="A57" s="3" t="s">
        <v>106</v>
      </c>
      <c r="B57" s="48" t="str">
        <f>_xlfn.XLOOKUP(Table14[[#This Row],[Module Code]],Table2[Module Code],Table2[Module Title])</f>
        <v>Advanced Particle Physics</v>
      </c>
      <c r="C57" s="43">
        <f>INDEX(Table2[Credits],MATCH(Table14[[#This Row],[Module Code]],Table2[Module Code],0))</f>
        <v>10</v>
      </c>
      <c r="D57" s="43" t="str">
        <f>INDEX(Table2[Semester],MATCH(Table14[[#This Row],[Module Code]],Table2[Module Code],0))</f>
        <v>SEM2</v>
      </c>
      <c r="E57" s="44">
        <f>INDEX(Table2[Contact Time],MATCH(Table14[[#This Row],[Module Code]],Table2[Module Code],0))</f>
        <v>2</v>
      </c>
      <c r="F57" s="11" t="s">
        <v>207</v>
      </c>
      <c r="G57" s="28" t="s">
        <v>203</v>
      </c>
      <c r="H57" s="28" t="s">
        <v>203</v>
      </c>
      <c r="I57" s="28" t="s">
        <v>203</v>
      </c>
      <c r="J57" s="28" t="s">
        <v>203</v>
      </c>
      <c r="K57" s="28" t="s">
        <v>203</v>
      </c>
      <c r="L57" s="28" t="s">
        <v>203</v>
      </c>
      <c r="M57" s="28" t="s">
        <v>203</v>
      </c>
      <c r="N57" s="28" t="s">
        <v>203</v>
      </c>
      <c r="O57" s="28" t="s">
        <v>203</v>
      </c>
      <c r="P57" s="28" t="s">
        <v>203</v>
      </c>
      <c r="Q57" s="28" t="s">
        <v>203</v>
      </c>
      <c r="R57" s="29"/>
      <c r="S57" s="30">
        <v>2</v>
      </c>
      <c r="T57" s="30">
        <v>2</v>
      </c>
      <c r="U57" s="30">
        <v>2</v>
      </c>
      <c r="V57" s="30">
        <v>2</v>
      </c>
      <c r="W57" s="30">
        <v>2</v>
      </c>
      <c r="X57" s="30">
        <v>2</v>
      </c>
      <c r="Y57" s="30">
        <v>2</v>
      </c>
      <c r="Z57" s="30">
        <v>2</v>
      </c>
      <c r="AA57" s="30">
        <v>2</v>
      </c>
      <c r="AB57" s="30">
        <v>2</v>
      </c>
      <c r="AC57" s="30">
        <v>2</v>
      </c>
      <c r="AD57" s="30"/>
      <c r="AE57" s="46">
        <f>SUM(Table14[[#This Row],[Autumn Week 1]:[Spring Week 12]])</f>
        <v>22</v>
      </c>
    </row>
    <row r="58" spans="1:31">
      <c r="A58" s="3" t="s">
        <v>60</v>
      </c>
      <c r="B58" s="48" t="str">
        <f>_xlfn.XLOOKUP(Table14[[#This Row],[Module Code]],Table2[Module Code],Table2[Module Title])</f>
        <v>Advanced Semiconductor Device Photonics</v>
      </c>
      <c r="C58" s="43">
        <f>INDEX(Table2[Credits],MATCH(Table14[[#This Row],[Module Code]],Table2[Module Code],0))</f>
        <v>10</v>
      </c>
      <c r="D58" s="43" t="str">
        <f>INDEX(Table2[Semester],MATCH(Table14[[#This Row],[Module Code]],Table2[Module Code],0))</f>
        <v>SEM2</v>
      </c>
      <c r="E58" s="44">
        <f>INDEX(Table2[Contact Time],MATCH(Table14[[#This Row],[Module Code]],Table2[Module Code],0))</f>
        <v>2</v>
      </c>
      <c r="F58" s="12" t="s">
        <v>207</v>
      </c>
      <c r="G58" s="28" t="s">
        <v>203</v>
      </c>
      <c r="H58" s="28" t="s">
        <v>203</v>
      </c>
      <c r="I58" s="28" t="s">
        <v>203</v>
      </c>
      <c r="J58" s="28" t="s">
        <v>203</v>
      </c>
      <c r="K58" s="28" t="s">
        <v>203</v>
      </c>
      <c r="L58" s="28" t="s">
        <v>203</v>
      </c>
      <c r="M58" s="28" t="s">
        <v>203</v>
      </c>
      <c r="N58" s="28" t="s">
        <v>203</v>
      </c>
      <c r="O58" s="28" t="s">
        <v>203</v>
      </c>
      <c r="P58" s="28" t="s">
        <v>203</v>
      </c>
      <c r="Q58" s="28" t="s">
        <v>203</v>
      </c>
      <c r="R58" s="29"/>
      <c r="S58" s="30">
        <v>2</v>
      </c>
      <c r="T58" s="30">
        <v>2</v>
      </c>
      <c r="U58" s="30">
        <v>2</v>
      </c>
      <c r="V58" s="30">
        <v>2</v>
      </c>
      <c r="W58" s="30">
        <v>2</v>
      </c>
      <c r="X58" s="30">
        <v>2</v>
      </c>
      <c r="Y58" s="30">
        <v>2</v>
      </c>
      <c r="Z58" s="30">
        <v>2</v>
      </c>
      <c r="AA58" s="30">
        <v>2</v>
      </c>
      <c r="AB58" s="30">
        <v>2</v>
      </c>
      <c r="AC58" s="30">
        <v>2</v>
      </c>
      <c r="AD58" s="30"/>
      <c r="AE58" s="46">
        <f>SUM(Table14[[#This Row],[Autumn Week 1]:[Spring Week 12]])</f>
        <v>22</v>
      </c>
    </row>
    <row r="59" spans="1:31">
      <c r="A59" s="3" t="s">
        <v>183</v>
      </c>
      <c r="B59" s="48" t="str">
        <f>_xlfn.XLOOKUP(Table14[[#This Row],[Module Code]],Table2[Module Code],Table2[Module Title])</f>
        <v>Exoplanets and the Search for Life</v>
      </c>
      <c r="C59" s="43">
        <f>INDEX(Table2[Credits],MATCH(Table14[[#This Row],[Module Code]],Table2[Module Code],0))</f>
        <v>10</v>
      </c>
      <c r="D59" s="43" t="str">
        <f>INDEX(Table2[Semester],MATCH(Table14[[#This Row],[Module Code]],Table2[Module Code],0))</f>
        <v>SEM2</v>
      </c>
      <c r="E59" s="44">
        <f>INDEX(Table2[Contact Time],MATCH(Table14[[#This Row],[Module Code]],Table2[Module Code],0))</f>
        <v>3</v>
      </c>
      <c r="F59" s="12" t="s">
        <v>207</v>
      </c>
      <c r="G59" s="28" t="s">
        <v>203</v>
      </c>
      <c r="H59" s="28" t="s">
        <v>203</v>
      </c>
      <c r="I59" s="28" t="s">
        <v>203</v>
      </c>
      <c r="J59" s="28" t="s">
        <v>203</v>
      </c>
      <c r="K59" s="28" t="s">
        <v>203</v>
      </c>
      <c r="L59" s="28" t="s">
        <v>203</v>
      </c>
      <c r="M59" s="28" t="s">
        <v>203</v>
      </c>
      <c r="N59" s="28" t="s">
        <v>203</v>
      </c>
      <c r="O59" s="28" t="s">
        <v>203</v>
      </c>
      <c r="P59" s="28" t="s">
        <v>203</v>
      </c>
      <c r="Q59" s="28" t="s">
        <v>203</v>
      </c>
      <c r="R59" s="29"/>
      <c r="S59" s="30">
        <v>2</v>
      </c>
      <c r="T59" s="30">
        <v>2</v>
      </c>
      <c r="U59" s="30">
        <v>2</v>
      </c>
      <c r="V59" s="30">
        <v>2</v>
      </c>
      <c r="W59" s="30">
        <v>2</v>
      </c>
      <c r="X59" s="30">
        <v>4</v>
      </c>
      <c r="Y59" s="30">
        <v>4</v>
      </c>
      <c r="Z59" s="30">
        <v>4</v>
      </c>
      <c r="AA59" s="30">
        <v>2</v>
      </c>
      <c r="AB59" s="30">
        <v>2</v>
      </c>
      <c r="AC59" s="30">
        <v>2</v>
      </c>
      <c r="AD59" s="30"/>
      <c r="AE59" s="46">
        <f>SUM(Table14[[#This Row],[Autumn Week 1]:[Spring Week 12]])</f>
        <v>28</v>
      </c>
    </row>
    <row r="60" spans="1:31">
      <c r="A60" s="3" t="s">
        <v>184</v>
      </c>
      <c r="B60" s="48" t="str">
        <f>_xlfn.XLOOKUP(Table14[[#This Row],[Module Code]],Table2[Module Code],Table2[Module Title])</f>
        <v>Numerical Relativity and Waveform Modelling</v>
      </c>
      <c r="C60" s="43">
        <f>INDEX(Table2[Credits],MATCH(Table14[[#This Row],[Module Code]],Table2[Module Code],0))</f>
        <v>10</v>
      </c>
      <c r="D60" s="43" t="str">
        <f>INDEX(Table2[Semester],MATCH(Table14[[#This Row],[Module Code]],Table2[Module Code],0))</f>
        <v>SEM2</v>
      </c>
      <c r="E60" s="44">
        <f>INDEX(Table2[Contact Time],MATCH(Table14[[#This Row],[Module Code]],Table2[Module Code],0))</f>
        <v>2</v>
      </c>
      <c r="F60" s="12" t="s">
        <v>207</v>
      </c>
      <c r="G60" s="28" t="s">
        <v>203</v>
      </c>
      <c r="H60" s="28" t="s">
        <v>203</v>
      </c>
      <c r="I60" s="28" t="s">
        <v>203</v>
      </c>
      <c r="J60" s="28" t="s">
        <v>203</v>
      </c>
      <c r="K60" s="28" t="s">
        <v>203</v>
      </c>
      <c r="L60" s="28" t="s">
        <v>203</v>
      </c>
      <c r="M60" s="28" t="s">
        <v>203</v>
      </c>
      <c r="N60" s="28" t="s">
        <v>203</v>
      </c>
      <c r="O60" s="28" t="s">
        <v>203</v>
      </c>
      <c r="P60" s="28" t="s">
        <v>203</v>
      </c>
      <c r="Q60" s="28" t="s">
        <v>203</v>
      </c>
      <c r="R60" s="29"/>
      <c r="S60" s="30">
        <v>2</v>
      </c>
      <c r="T60" s="30">
        <v>2</v>
      </c>
      <c r="U60" s="30">
        <v>2</v>
      </c>
      <c r="V60" s="30">
        <v>2</v>
      </c>
      <c r="W60" s="30">
        <v>2</v>
      </c>
      <c r="X60" s="30">
        <v>2</v>
      </c>
      <c r="Y60" s="30">
        <v>2</v>
      </c>
      <c r="Z60" s="30">
        <v>2</v>
      </c>
      <c r="AA60" s="30">
        <v>2</v>
      </c>
      <c r="AB60" s="30">
        <v>2</v>
      </c>
      <c r="AC60" s="30">
        <v>2</v>
      </c>
      <c r="AD60" s="30"/>
      <c r="AE60" s="46">
        <f>SUM(Table14[[#This Row],[Autumn Week 1]:[Spring Week 12]])</f>
        <v>22</v>
      </c>
    </row>
    <row r="61" spans="1:31">
      <c r="A61" s="4" t="s">
        <v>65</v>
      </c>
      <c r="B61" s="48" t="str">
        <f>_xlfn.XLOOKUP(Table14[[#This Row],[Module Code]],Table2[Module Code],Table2[Module Title])</f>
        <v>Physics Project</v>
      </c>
      <c r="C61" s="43">
        <f>INDEX(Table2[Credits],MATCH(Table14[[#This Row],[Module Code]],Table2[Module Code],0))</f>
        <v>60</v>
      </c>
      <c r="D61" s="43" t="str">
        <f>INDEX(Table2[Semester],MATCH(Table14[[#This Row],[Module Code]],Table2[Module Code],0))</f>
        <v>SEMD</v>
      </c>
      <c r="E61" s="44">
        <f>INDEX(Table2[Contact Time],MATCH(Table14[[#This Row],[Module Code]],Table2[Module Code],0))</f>
        <v>0.5</v>
      </c>
      <c r="F61" s="11" t="s">
        <v>206</v>
      </c>
      <c r="G61" s="28">
        <v>18</v>
      </c>
      <c r="H61" s="28">
        <v>1</v>
      </c>
      <c r="I61" s="28">
        <v>0.5</v>
      </c>
      <c r="J61" s="28">
        <v>0.5</v>
      </c>
      <c r="K61" s="28">
        <v>0.5</v>
      </c>
      <c r="L61" s="28">
        <v>0.5</v>
      </c>
      <c r="M61" s="28">
        <v>0.5</v>
      </c>
      <c r="N61" s="28">
        <v>0.5</v>
      </c>
      <c r="O61" s="28">
        <v>0.5</v>
      </c>
      <c r="P61" s="28">
        <v>0.5</v>
      </c>
      <c r="Q61" s="28">
        <v>0.5</v>
      </c>
      <c r="R61" s="28"/>
      <c r="S61" s="30">
        <v>0.5</v>
      </c>
      <c r="T61" s="30">
        <v>0.5</v>
      </c>
      <c r="U61" s="30">
        <v>0.5</v>
      </c>
      <c r="V61" s="30">
        <v>0.5</v>
      </c>
      <c r="W61" s="30">
        <v>0.5</v>
      </c>
      <c r="X61" s="30">
        <v>0.5</v>
      </c>
      <c r="Y61" s="30">
        <v>0.5</v>
      </c>
      <c r="Z61" s="30">
        <v>0.5</v>
      </c>
      <c r="AA61" s="30">
        <v>0.5</v>
      </c>
      <c r="AB61" s="30">
        <v>0.5</v>
      </c>
      <c r="AC61" s="30">
        <v>0.5</v>
      </c>
      <c r="AD61" s="30">
        <v>0.5</v>
      </c>
      <c r="AE61" s="46">
        <f>SUM(Table14[[#This Row],[Autumn Week 1]:[Spring Week 12]])</f>
        <v>29.5</v>
      </c>
    </row>
    <row r="62" spans="1:31">
      <c r="A62" s="4" t="s">
        <v>229</v>
      </c>
      <c r="B62" s="48" t="str">
        <f>_xlfn.XLOOKUP(Table14[[#This Row],[Module Code]],Table2[Module Code],Table2[Module Title])</f>
        <v>LabVIEW Programming for Physicists</v>
      </c>
      <c r="C62" s="43">
        <f>INDEX(Table2[Credits],MATCH(Table14[[#This Row],[Module Code]],Table2[Module Code],0))</f>
        <v>10</v>
      </c>
      <c r="D62" s="43" t="str">
        <f>INDEX(Table2[Semester],MATCH(Table14[[#This Row],[Module Code]],Table2[Module Code],0))</f>
        <v>SEM1</v>
      </c>
      <c r="E62" s="44">
        <f>INDEX(Table2[Contact Time],MATCH(Table14[[#This Row],[Module Code]],Table2[Module Code],0))</f>
        <v>2</v>
      </c>
      <c r="F62" s="11" t="s">
        <v>207</v>
      </c>
      <c r="G62" s="28">
        <v>2</v>
      </c>
      <c r="H62" s="28">
        <v>2</v>
      </c>
      <c r="I62" s="28">
        <v>2</v>
      </c>
      <c r="J62" s="28">
        <v>2</v>
      </c>
      <c r="K62" s="28"/>
      <c r="L62" s="28">
        <v>2</v>
      </c>
      <c r="M62" s="28">
        <v>2</v>
      </c>
      <c r="N62" s="28">
        <v>2</v>
      </c>
      <c r="O62" s="28">
        <v>2</v>
      </c>
      <c r="P62" s="28">
        <v>2</v>
      </c>
      <c r="Q62" s="28"/>
      <c r="R62" s="29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46">
        <f>SUM(Table14[[#This Row],[Autumn Week 1]:[Spring Week 12]])</f>
        <v>18</v>
      </c>
    </row>
    <row r="63" spans="1:31">
      <c r="A63" s="4" t="s">
        <v>170</v>
      </c>
      <c r="B63" s="48" t="str">
        <f>_xlfn.XLOOKUP(Table14[[#This Row],[Module Code]],Table2[Module Code],Table2[Module Title])</f>
        <v>Advanced Techniques in Physics and Astrophysics</v>
      </c>
      <c r="C63" s="43">
        <f>INDEX(Table2[Credits],MATCH(Table14[[#This Row],[Module Code]],Table2[Module Code],0))</f>
        <v>20</v>
      </c>
      <c r="D63" s="43" t="str">
        <f>INDEX(Table2[Semester],MATCH(Table14[[#This Row],[Module Code]],Table2[Module Code],0))</f>
        <v>SEM1</v>
      </c>
      <c r="E63" s="44">
        <f>INDEX(Table2[Contact Time],MATCH(Table14[[#This Row],[Module Code]],Table2[Module Code],0))</f>
        <v>3</v>
      </c>
      <c r="F63" s="11" t="s">
        <v>206</v>
      </c>
      <c r="G63" s="28">
        <v>3</v>
      </c>
      <c r="H63" s="28">
        <v>3</v>
      </c>
      <c r="I63" s="28">
        <v>3</v>
      </c>
      <c r="J63" s="28">
        <v>3</v>
      </c>
      <c r="K63" s="28">
        <v>3</v>
      </c>
      <c r="L63" s="28">
        <v>3</v>
      </c>
      <c r="M63" s="28">
        <v>3</v>
      </c>
      <c r="N63" s="28">
        <v>3</v>
      </c>
      <c r="O63" s="28">
        <v>3</v>
      </c>
      <c r="P63" s="28">
        <v>3</v>
      </c>
      <c r="Q63" s="28">
        <v>3</v>
      </c>
      <c r="R63" s="29"/>
      <c r="S63" s="30" t="s">
        <v>203</v>
      </c>
      <c r="T63" s="30" t="s">
        <v>203</v>
      </c>
      <c r="U63" s="30" t="s">
        <v>203</v>
      </c>
      <c r="V63" s="30" t="s">
        <v>203</v>
      </c>
      <c r="W63" s="30" t="s">
        <v>203</v>
      </c>
      <c r="X63" s="30" t="s">
        <v>203</v>
      </c>
      <c r="Y63" s="30" t="s">
        <v>203</v>
      </c>
      <c r="Z63" s="30" t="s">
        <v>203</v>
      </c>
      <c r="AA63" s="30" t="s">
        <v>203</v>
      </c>
      <c r="AB63" s="30" t="s">
        <v>203</v>
      </c>
      <c r="AC63" s="30" t="s">
        <v>203</v>
      </c>
      <c r="AD63" s="30"/>
      <c r="AE63" s="46">
        <f>SUM(Table14[[#This Row],[Autumn Week 1]:[Spring Week 12]])</f>
        <v>33</v>
      </c>
    </row>
    <row r="64" spans="1:31">
      <c r="A64" s="4" t="s">
        <v>171</v>
      </c>
      <c r="B64" s="48" t="str">
        <f>_xlfn.XLOOKUP(Table14[[#This Row],[Module Code]],Table2[Module Code],Table2[Module Title])</f>
        <v>Advanced Study and Research Skills</v>
      </c>
      <c r="C64" s="43">
        <f>INDEX(Table2[Credits],MATCH(Table14[[#This Row],[Module Code]],Table2[Module Code],0))</f>
        <v>20</v>
      </c>
      <c r="D64" s="43" t="str">
        <f>INDEX(Table2[Semester],MATCH(Table14[[#This Row],[Module Code]],Table2[Module Code],0))</f>
        <v>SEM2</v>
      </c>
      <c r="E64" s="44">
        <f>INDEX(Table2[Contact Time],MATCH(Table14[[#This Row],[Module Code]],Table2[Module Code],0))</f>
        <v>4</v>
      </c>
      <c r="F64" s="11" t="s">
        <v>206</v>
      </c>
      <c r="G64" s="28" t="s">
        <v>203</v>
      </c>
      <c r="H64" s="28" t="s">
        <v>203</v>
      </c>
      <c r="I64" s="28" t="s">
        <v>203</v>
      </c>
      <c r="J64" s="28" t="s">
        <v>203</v>
      </c>
      <c r="K64" s="28" t="s">
        <v>203</v>
      </c>
      <c r="L64" s="28" t="s">
        <v>203</v>
      </c>
      <c r="M64" s="28" t="s">
        <v>203</v>
      </c>
      <c r="N64" s="28" t="s">
        <v>203</v>
      </c>
      <c r="O64" s="28" t="s">
        <v>203</v>
      </c>
      <c r="P64" s="28" t="s">
        <v>203</v>
      </c>
      <c r="Q64" s="28" t="s">
        <v>203</v>
      </c>
      <c r="R64" s="29"/>
      <c r="S64" s="30">
        <v>4</v>
      </c>
      <c r="T64" s="30">
        <v>4</v>
      </c>
      <c r="U64" s="30">
        <v>4</v>
      </c>
      <c r="V64" s="30">
        <v>4</v>
      </c>
      <c r="W64" s="30">
        <v>4</v>
      </c>
      <c r="X64" s="30">
        <v>4</v>
      </c>
      <c r="Y64" s="30">
        <v>4</v>
      </c>
      <c r="Z64" s="30">
        <v>4</v>
      </c>
      <c r="AA64" s="30">
        <v>4</v>
      </c>
      <c r="AB64" s="30">
        <v>4</v>
      </c>
      <c r="AC64" s="30">
        <v>4</v>
      </c>
      <c r="AD64" s="30"/>
      <c r="AE64" s="46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3"/>
  <sheetViews>
    <sheetView workbookViewId="0">
      <pane xSplit="2" topLeftCell="C1" activePane="topRight" state="frozen"/>
      <selection pane="topRight" activeCell="X15" sqref="X15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172</v>
      </c>
      <c r="D1" s="5" t="s">
        <v>168</v>
      </c>
      <c r="E1" s="5" t="s">
        <v>135</v>
      </c>
      <c r="F1" s="5" t="s">
        <v>130</v>
      </c>
      <c r="G1" s="5" t="s">
        <v>129</v>
      </c>
      <c r="H1" s="5" t="s">
        <v>387</v>
      </c>
      <c r="I1" s="5" t="s">
        <v>255</v>
      </c>
      <c r="J1" s="5" t="s">
        <v>127</v>
      </c>
      <c r="K1" s="5" t="s">
        <v>210</v>
      </c>
      <c r="L1" s="5" t="s">
        <v>128</v>
      </c>
      <c r="M1" s="5" t="s">
        <v>131</v>
      </c>
      <c r="N1" s="5" t="s">
        <v>256</v>
      </c>
      <c r="O1" s="5" t="s">
        <v>185</v>
      </c>
      <c r="P1" s="5" t="s">
        <v>186</v>
      </c>
      <c r="Q1" s="5" t="s">
        <v>363</v>
      </c>
      <c r="R1" s="5" t="s">
        <v>364</v>
      </c>
      <c r="S1" s="5" t="s">
        <v>226</v>
      </c>
      <c r="T1" s="5" t="s">
        <v>362</v>
      </c>
      <c r="U1" s="5" t="s">
        <v>201</v>
      </c>
      <c r="V1" s="1" t="s">
        <v>218</v>
      </c>
      <c r="W1" s="1" t="s">
        <v>165</v>
      </c>
      <c r="X1" s="1" t="s">
        <v>166</v>
      </c>
    </row>
    <row r="2" spans="1:24">
      <c r="A2" s="4" t="s">
        <v>51</v>
      </c>
      <c r="B2" s="2" t="s">
        <v>50</v>
      </c>
      <c r="C2" s="2"/>
      <c r="D2" s="2" t="s">
        <v>169</v>
      </c>
      <c r="E2" s="2" t="s">
        <v>136</v>
      </c>
      <c r="F2" s="2">
        <v>4</v>
      </c>
      <c r="G2" s="2">
        <v>20</v>
      </c>
      <c r="H2" s="2"/>
      <c r="I2" s="2" t="s">
        <v>132</v>
      </c>
      <c r="J2" t="s">
        <v>132</v>
      </c>
      <c r="K2" t="s">
        <v>132</v>
      </c>
      <c r="L2" t="s">
        <v>132</v>
      </c>
      <c r="M2" t="s">
        <v>132</v>
      </c>
      <c r="U2">
        <v>4</v>
      </c>
      <c r="V2">
        <v>60</v>
      </c>
      <c r="W2" s="42">
        <f>100-Table2[[#This Row],[Exam Weight (%)]]</f>
        <v>40</v>
      </c>
      <c r="X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237</v>
      </c>
      <c r="B3" s="2" t="s">
        <v>238</v>
      </c>
      <c r="C3" s="2"/>
      <c r="D3" s="2" t="s">
        <v>169</v>
      </c>
      <c r="E3" s="2" t="s">
        <v>136</v>
      </c>
      <c r="F3" s="2">
        <v>4</v>
      </c>
      <c r="G3" s="2">
        <v>20</v>
      </c>
      <c r="H3" s="2"/>
      <c r="I3" s="2" t="s">
        <v>132</v>
      </c>
      <c r="J3" t="s">
        <v>132</v>
      </c>
      <c r="K3" t="s">
        <v>132</v>
      </c>
      <c r="L3" t="s">
        <v>132</v>
      </c>
      <c r="M3" t="s">
        <v>132</v>
      </c>
      <c r="U3">
        <v>4</v>
      </c>
      <c r="V3">
        <v>60</v>
      </c>
      <c r="W3" s="42">
        <f>100-Table2[[#This Row],[Exam Weight (%)]]</f>
        <v>40</v>
      </c>
      <c r="X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240</v>
      </c>
      <c r="B4" s="2" t="s">
        <v>241</v>
      </c>
      <c r="C4" s="2"/>
      <c r="D4" s="2" t="s">
        <v>169</v>
      </c>
      <c r="E4" s="2" t="s">
        <v>136</v>
      </c>
      <c r="F4" s="2">
        <v>4</v>
      </c>
      <c r="G4" s="2">
        <v>10</v>
      </c>
      <c r="H4" s="2"/>
      <c r="I4" s="2" t="s">
        <v>132</v>
      </c>
      <c r="J4" t="s">
        <v>132</v>
      </c>
      <c r="K4" t="s">
        <v>132</v>
      </c>
      <c r="L4" t="s">
        <v>132</v>
      </c>
      <c r="M4" t="s">
        <v>132</v>
      </c>
      <c r="U4">
        <v>2</v>
      </c>
      <c r="V4">
        <v>50</v>
      </c>
      <c r="W4" s="42">
        <f>100-Table2[[#This Row],[Exam Weight (%)]]</f>
        <v>50</v>
      </c>
      <c r="X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53</v>
      </c>
      <c r="B5" s="2" t="s">
        <v>52</v>
      </c>
      <c r="C5" s="2"/>
      <c r="D5" s="2" t="s">
        <v>169</v>
      </c>
      <c r="E5" s="2" t="s">
        <v>138</v>
      </c>
      <c r="F5" s="2">
        <v>4</v>
      </c>
      <c r="G5" s="2">
        <v>20</v>
      </c>
      <c r="H5" s="2"/>
      <c r="I5" s="2" t="s">
        <v>132</v>
      </c>
      <c r="J5" t="s">
        <v>132</v>
      </c>
      <c r="K5" t="s">
        <v>132</v>
      </c>
      <c r="L5" t="s">
        <v>132</v>
      </c>
      <c r="M5" t="s">
        <v>132</v>
      </c>
      <c r="U5">
        <v>4</v>
      </c>
      <c r="V5">
        <v>0</v>
      </c>
      <c r="W5" s="42">
        <f>100-Table2[[#This Row],[Exam Weight (%)]]</f>
        <v>100</v>
      </c>
      <c r="X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72</v>
      </c>
      <c r="B6" s="3" t="s">
        <v>67</v>
      </c>
      <c r="C6" s="3"/>
      <c r="D6" s="2" t="s">
        <v>169</v>
      </c>
      <c r="E6" s="3" t="s">
        <v>137</v>
      </c>
      <c r="F6" s="4">
        <v>4</v>
      </c>
      <c r="G6" s="2">
        <v>20</v>
      </c>
      <c r="H6" s="2"/>
      <c r="I6" s="2" t="s">
        <v>132</v>
      </c>
      <c r="J6" t="s">
        <v>132</v>
      </c>
      <c r="K6" t="s">
        <v>132</v>
      </c>
      <c r="L6" t="s">
        <v>132</v>
      </c>
      <c r="M6" t="s">
        <v>132</v>
      </c>
      <c r="U6">
        <v>4</v>
      </c>
      <c r="V6">
        <v>70</v>
      </c>
      <c r="W6" s="42">
        <f>100-Table2[[#This Row],[Exam Weight (%)]]</f>
        <v>30</v>
      </c>
      <c r="X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176</v>
      </c>
      <c r="B7" s="3" t="s">
        <v>68</v>
      </c>
      <c r="C7" s="3"/>
      <c r="D7" s="2" t="s">
        <v>169</v>
      </c>
      <c r="E7" s="3" t="s">
        <v>137</v>
      </c>
      <c r="F7" s="4">
        <v>4</v>
      </c>
      <c r="G7" s="2">
        <v>10</v>
      </c>
      <c r="H7" s="2"/>
      <c r="I7" s="2" t="s">
        <v>132</v>
      </c>
      <c r="J7" t="s">
        <v>132</v>
      </c>
      <c r="K7" t="s">
        <v>132</v>
      </c>
      <c r="L7" t="s">
        <v>132</v>
      </c>
      <c r="M7" t="s">
        <v>132</v>
      </c>
      <c r="U7">
        <v>3</v>
      </c>
      <c r="V7">
        <v>0</v>
      </c>
      <c r="W7" s="42">
        <f>100-Table2[[#This Row],[Exam Weight (%)]]</f>
        <v>100</v>
      </c>
      <c r="X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74</v>
      </c>
      <c r="B8" s="3" t="s">
        <v>70</v>
      </c>
      <c r="C8" s="3"/>
      <c r="D8" s="2" t="s">
        <v>169</v>
      </c>
      <c r="E8" s="3" t="s">
        <v>137</v>
      </c>
      <c r="F8" s="4">
        <v>4</v>
      </c>
      <c r="G8" s="2">
        <v>10</v>
      </c>
      <c r="H8" s="2"/>
      <c r="I8" s="2" t="s">
        <v>133</v>
      </c>
      <c r="J8" t="s">
        <v>133</v>
      </c>
      <c r="K8" t="s">
        <v>132</v>
      </c>
      <c r="L8" t="s">
        <v>132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 s="42">
        <f>100-Table2[[#This Row],[Exam Weight (%)]]</f>
        <v>30</v>
      </c>
      <c r="X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75</v>
      </c>
      <c r="B9" s="3" t="s">
        <v>71</v>
      </c>
      <c r="C9" s="3"/>
      <c r="D9" s="2" t="s">
        <v>169</v>
      </c>
      <c r="E9" s="3" t="s">
        <v>137</v>
      </c>
      <c r="F9" s="4">
        <v>4</v>
      </c>
      <c r="G9" s="2">
        <v>10</v>
      </c>
      <c r="H9" s="2"/>
      <c r="I9" s="2" t="s">
        <v>132</v>
      </c>
      <c r="J9" t="s">
        <v>132</v>
      </c>
      <c r="K9" t="s">
        <v>132</v>
      </c>
      <c r="L9" t="s">
        <v>132</v>
      </c>
      <c r="M9" t="s">
        <v>132</v>
      </c>
      <c r="U9">
        <v>2</v>
      </c>
      <c r="V9">
        <v>60</v>
      </c>
      <c r="W9" s="42">
        <f>100-Table2[[#This Row],[Exam Weight (%)]]</f>
        <v>40</v>
      </c>
      <c r="X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73</v>
      </c>
      <c r="B10" s="3" t="s">
        <v>69</v>
      </c>
      <c r="C10" s="3"/>
      <c r="D10" s="2" t="s">
        <v>169</v>
      </c>
      <c r="E10" s="3" t="s">
        <v>137</v>
      </c>
      <c r="F10" s="4">
        <v>4</v>
      </c>
      <c r="G10" s="2">
        <v>10</v>
      </c>
      <c r="H10" s="2"/>
      <c r="I10" s="2" t="s">
        <v>133</v>
      </c>
      <c r="J10" t="s">
        <v>133</v>
      </c>
      <c r="K10" s="6"/>
      <c r="L10" s="6"/>
      <c r="M10" t="s">
        <v>132</v>
      </c>
      <c r="U10">
        <v>2</v>
      </c>
      <c r="V10">
        <v>80</v>
      </c>
      <c r="W10" s="42">
        <f>100-Table2[[#This Row],[Exam Weight (%)]]</f>
        <v>20</v>
      </c>
      <c r="X1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204</v>
      </c>
      <c r="B11" s="3" t="s">
        <v>205</v>
      </c>
      <c r="C11" s="3"/>
      <c r="D11" s="27" t="s">
        <v>169</v>
      </c>
      <c r="E11" s="3" t="s">
        <v>138</v>
      </c>
      <c r="F11" s="4">
        <v>4</v>
      </c>
      <c r="G11" s="2">
        <v>0</v>
      </c>
      <c r="H11" s="2"/>
      <c r="I11" s="2" t="s">
        <v>132</v>
      </c>
      <c r="J11" t="s">
        <v>132</v>
      </c>
      <c r="K11" s="6" t="s">
        <v>132</v>
      </c>
      <c r="L11" s="6" t="s">
        <v>132</v>
      </c>
      <c r="M11" t="s">
        <v>132</v>
      </c>
      <c r="U11">
        <v>1</v>
      </c>
      <c r="V11">
        <v>0</v>
      </c>
      <c r="W11" s="42">
        <f>100-Table2[[#This Row],[Exam Weight (%)]]</f>
        <v>100</v>
      </c>
      <c r="X1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35</v>
      </c>
      <c r="B12" s="2" t="s">
        <v>36</v>
      </c>
      <c r="C12" s="2"/>
      <c r="D12" s="2" t="s">
        <v>169</v>
      </c>
      <c r="E12" s="2" t="s">
        <v>136</v>
      </c>
      <c r="F12" s="2">
        <v>5</v>
      </c>
      <c r="G12" s="2">
        <v>20</v>
      </c>
      <c r="H12" s="2"/>
      <c r="I12" s="2" t="s">
        <v>132</v>
      </c>
      <c r="J12" t="s">
        <v>132</v>
      </c>
      <c r="K12" t="s">
        <v>132</v>
      </c>
      <c r="L12" t="s">
        <v>132</v>
      </c>
      <c r="M12" t="s">
        <v>132</v>
      </c>
      <c r="U12">
        <v>4</v>
      </c>
      <c r="V12">
        <v>60</v>
      </c>
      <c r="W12" s="42">
        <f>100-Table2[[#This Row],[Exam Weight (%)]]</f>
        <v>40</v>
      </c>
      <c r="X1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243</v>
      </c>
      <c r="B13" s="2" t="s">
        <v>242</v>
      </c>
      <c r="C13" s="2"/>
      <c r="D13" s="2" t="s">
        <v>169</v>
      </c>
      <c r="E13" s="2" t="s">
        <v>136</v>
      </c>
      <c r="F13" s="2">
        <v>5</v>
      </c>
      <c r="G13" s="2">
        <v>10</v>
      </c>
      <c r="H13" s="2"/>
      <c r="I13" s="2" t="s">
        <v>132</v>
      </c>
      <c r="J13" t="s">
        <v>132</v>
      </c>
      <c r="K13" t="s">
        <v>132</v>
      </c>
      <c r="L13" t="s">
        <v>132</v>
      </c>
      <c r="M13" t="s">
        <v>132</v>
      </c>
      <c r="U13">
        <v>3</v>
      </c>
      <c r="V13">
        <v>60</v>
      </c>
      <c r="W13" s="42">
        <f>100-Table2[[#This Row],[Exam Weight (%)]]</f>
        <v>40</v>
      </c>
      <c r="X1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45</v>
      </c>
      <c r="B14" s="2" t="s">
        <v>44</v>
      </c>
      <c r="C14" s="2"/>
      <c r="D14" s="2" t="s">
        <v>169</v>
      </c>
      <c r="E14" s="2" t="s">
        <v>136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132</v>
      </c>
      <c r="U14">
        <v>4</v>
      </c>
      <c r="V14">
        <v>0</v>
      </c>
      <c r="W14" s="42">
        <f>100-Table2[[#This Row],[Exam Weight (%)]]</f>
        <v>100</v>
      </c>
      <c r="X1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219</v>
      </c>
      <c r="B15" s="2" t="s">
        <v>220</v>
      </c>
      <c r="C15" s="2"/>
      <c r="D15" s="2" t="s">
        <v>169</v>
      </c>
      <c r="E15" s="2" t="s">
        <v>136</v>
      </c>
      <c r="F15" s="2">
        <v>5</v>
      </c>
      <c r="G15" s="2">
        <v>10</v>
      </c>
      <c r="H15" s="2"/>
      <c r="I15" s="2" t="s">
        <v>132</v>
      </c>
      <c r="J15" t="s">
        <v>132</v>
      </c>
      <c r="K15" t="s">
        <v>132</v>
      </c>
      <c r="L15" t="s">
        <v>132</v>
      </c>
      <c r="M15" t="s">
        <v>132</v>
      </c>
      <c r="U15">
        <v>3</v>
      </c>
      <c r="V15">
        <v>0</v>
      </c>
      <c r="W15" s="42">
        <f>100-Table2[[#This Row],[Exam Weight (%)]]</f>
        <v>100</v>
      </c>
      <c r="X1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37</v>
      </c>
      <c r="B16" s="2" t="s">
        <v>38</v>
      </c>
      <c r="C16" s="2"/>
      <c r="D16" s="2" t="s">
        <v>169</v>
      </c>
      <c r="E16" s="2" t="s">
        <v>136</v>
      </c>
      <c r="F16" s="2">
        <v>5</v>
      </c>
      <c r="G16" s="2">
        <v>10</v>
      </c>
      <c r="H16" s="2"/>
      <c r="I16" s="2" t="s">
        <v>133</v>
      </c>
      <c r="J16" t="s">
        <v>133</v>
      </c>
      <c r="K16" t="s">
        <v>133</v>
      </c>
      <c r="L16" t="s">
        <v>132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>
        <v>60</v>
      </c>
      <c r="W16" s="42">
        <f>100-Table2[[#This Row],[Exam Weight (%)]]</f>
        <v>40</v>
      </c>
      <c r="X1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4">
      <c r="A17" s="4" t="s">
        <v>41</v>
      </c>
      <c r="B17" s="2" t="s">
        <v>39</v>
      </c>
      <c r="C17" s="2"/>
      <c r="D17" s="2" t="s">
        <v>169</v>
      </c>
      <c r="E17" s="2" t="s">
        <v>136</v>
      </c>
      <c r="F17" s="2">
        <v>5</v>
      </c>
      <c r="G17" s="2">
        <v>10</v>
      </c>
      <c r="H17" s="2"/>
      <c r="I17" s="2" t="s">
        <v>133</v>
      </c>
      <c r="J17" t="s">
        <v>377</v>
      </c>
      <c r="K17" s="6" t="s">
        <v>377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 s="42">
        <f>100-Table2[[#This Row],[Exam Weight (%)]]</f>
        <v>100</v>
      </c>
      <c r="X1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42</v>
      </c>
      <c r="B18" s="2" t="s">
        <v>40</v>
      </c>
      <c r="C18" s="2"/>
      <c r="D18" s="2" t="s">
        <v>169</v>
      </c>
      <c r="E18" s="2" t="s">
        <v>136</v>
      </c>
      <c r="F18" s="2">
        <v>5</v>
      </c>
      <c r="G18" s="2">
        <v>10</v>
      </c>
      <c r="H18" s="2"/>
      <c r="I18" s="2" t="s">
        <v>133</v>
      </c>
      <c r="J18" t="s">
        <v>133</v>
      </c>
      <c r="K18" s="6" t="s">
        <v>133</v>
      </c>
      <c r="L18" s="6"/>
      <c r="M18" t="s">
        <v>132</v>
      </c>
      <c r="U18">
        <v>2</v>
      </c>
      <c r="V18">
        <v>65</v>
      </c>
      <c r="W18" s="42">
        <f>100-Table2[[#This Row],[Exam Weight (%)]]</f>
        <v>35</v>
      </c>
      <c r="X1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47</v>
      </c>
      <c r="B19" s="2" t="s">
        <v>46</v>
      </c>
      <c r="C19" s="2"/>
      <c r="D19" s="2" t="s">
        <v>169</v>
      </c>
      <c r="E19" s="2" t="s">
        <v>138</v>
      </c>
      <c r="F19" s="2">
        <v>5</v>
      </c>
      <c r="G19" s="2">
        <v>20</v>
      </c>
      <c r="H19" s="2"/>
      <c r="I19" s="2" t="s">
        <v>133</v>
      </c>
      <c r="J19" t="s">
        <v>132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 s="42">
        <f>100-Table2[[#This Row],[Exam Weight (%)]]</f>
        <v>100</v>
      </c>
      <c r="X1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49</v>
      </c>
      <c r="B20" s="2" t="s">
        <v>48</v>
      </c>
      <c r="C20" s="2"/>
      <c r="D20" s="2" t="s">
        <v>169</v>
      </c>
      <c r="E20" s="2" t="s">
        <v>138</v>
      </c>
      <c r="F20" s="2">
        <v>5</v>
      </c>
      <c r="G20" s="2">
        <v>20</v>
      </c>
      <c r="H20" s="2"/>
      <c r="I20" s="2" t="s">
        <v>133</v>
      </c>
      <c r="J20" s="6"/>
      <c r="K20" t="s">
        <v>132</v>
      </c>
      <c r="L20" t="s">
        <v>132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 s="42">
        <f>100-Table2[[#This Row],[Exam Weight (%)]]</f>
        <v>100</v>
      </c>
      <c r="X2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84</v>
      </c>
      <c r="B21" s="3" t="s">
        <v>76</v>
      </c>
      <c r="C21" s="3"/>
      <c r="D21" s="2" t="s">
        <v>169</v>
      </c>
      <c r="E21" s="3" t="s">
        <v>137</v>
      </c>
      <c r="F21" s="4">
        <v>5</v>
      </c>
      <c r="G21" s="2">
        <v>20</v>
      </c>
      <c r="H21" s="2"/>
      <c r="I21" s="2" t="s">
        <v>132</v>
      </c>
      <c r="J21" t="s">
        <v>132</v>
      </c>
      <c r="K21" t="s">
        <v>132</v>
      </c>
      <c r="L21" t="s">
        <v>132</v>
      </c>
      <c r="M21" t="s">
        <v>132</v>
      </c>
      <c r="U21">
        <v>4</v>
      </c>
      <c r="V21">
        <v>70</v>
      </c>
      <c r="W21" s="42">
        <f>100-Table2[[#This Row],[Exam Weight (%)]]</f>
        <v>30</v>
      </c>
      <c r="X2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4">
      <c r="A22" s="3" t="s">
        <v>85</v>
      </c>
      <c r="B22" s="3" t="s">
        <v>77</v>
      </c>
      <c r="C22" s="3"/>
      <c r="D22" s="2" t="s">
        <v>169</v>
      </c>
      <c r="E22" s="3" t="s">
        <v>137</v>
      </c>
      <c r="F22" s="4">
        <v>5</v>
      </c>
      <c r="G22" s="2">
        <v>10</v>
      </c>
      <c r="H22" s="2"/>
      <c r="I22" s="2" t="s">
        <v>132</v>
      </c>
      <c r="J22" t="s">
        <v>132</v>
      </c>
      <c r="K22" t="s">
        <v>132</v>
      </c>
      <c r="L22" t="s">
        <v>132</v>
      </c>
      <c r="M22" t="s">
        <v>132</v>
      </c>
      <c r="U22">
        <v>2</v>
      </c>
      <c r="V22">
        <v>70</v>
      </c>
      <c r="W22" s="42">
        <f>100-Table2[[#This Row],[Exam Weight (%)]]</f>
        <v>30</v>
      </c>
      <c r="X2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175</v>
      </c>
      <c r="B23" s="3" t="s">
        <v>79</v>
      </c>
      <c r="C23" s="3"/>
      <c r="D23" s="2" t="s">
        <v>169</v>
      </c>
      <c r="E23" s="3" t="s">
        <v>137</v>
      </c>
      <c r="F23" s="4">
        <v>5</v>
      </c>
      <c r="G23" s="2">
        <v>10</v>
      </c>
      <c r="H23" s="2"/>
      <c r="I23" s="2" t="s">
        <v>132</v>
      </c>
      <c r="J23" t="s">
        <v>132</v>
      </c>
      <c r="K23" t="s">
        <v>132</v>
      </c>
      <c r="L23" t="s">
        <v>132</v>
      </c>
      <c r="M23" t="s">
        <v>132</v>
      </c>
      <c r="U23">
        <v>3</v>
      </c>
      <c r="V23">
        <v>70</v>
      </c>
      <c r="W23" s="42">
        <f>100-Table2[[#This Row],[Exam Weight (%)]]</f>
        <v>30</v>
      </c>
      <c r="X2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4">
      <c r="A24" s="3" t="s">
        <v>80</v>
      </c>
      <c r="B24" s="3" t="s">
        <v>81</v>
      </c>
      <c r="C24" s="3"/>
      <c r="D24" s="2" t="s">
        <v>169</v>
      </c>
      <c r="E24" s="3" t="s">
        <v>137</v>
      </c>
      <c r="F24" s="4">
        <v>5</v>
      </c>
      <c r="G24" s="2">
        <v>10</v>
      </c>
      <c r="H24" s="2"/>
      <c r="I24" s="2" t="s">
        <v>133</v>
      </c>
      <c r="J24" s="6"/>
      <c r="K24" s="6"/>
      <c r="L24" s="6"/>
      <c r="M24" t="s">
        <v>132</v>
      </c>
      <c r="U24">
        <v>2</v>
      </c>
      <c r="V24">
        <v>80</v>
      </c>
      <c r="W24" s="42">
        <f>100-Table2[[#This Row],[Exam Weight (%)]]</f>
        <v>20</v>
      </c>
      <c r="X2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82</v>
      </c>
      <c r="B25" s="3" t="s">
        <v>83</v>
      </c>
      <c r="C25" s="3"/>
      <c r="D25" s="2" t="s">
        <v>169</v>
      </c>
      <c r="E25" s="3" t="s">
        <v>137</v>
      </c>
      <c r="F25" s="4">
        <v>5</v>
      </c>
      <c r="G25" s="2">
        <v>10</v>
      </c>
      <c r="H25" s="2"/>
      <c r="I25" s="2" t="s">
        <v>133</v>
      </c>
      <c r="J25" t="s">
        <v>132</v>
      </c>
      <c r="K25" s="6" t="s">
        <v>378</v>
      </c>
      <c r="L25" s="6"/>
      <c r="M25" t="s">
        <v>132</v>
      </c>
      <c r="U25">
        <v>3</v>
      </c>
      <c r="V25">
        <v>0</v>
      </c>
      <c r="W25" s="42">
        <f>100-Table2[[#This Row],[Exam Weight (%)]]</f>
        <v>100</v>
      </c>
      <c r="X2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86</v>
      </c>
      <c r="B26" s="3" t="s">
        <v>78</v>
      </c>
      <c r="C26" s="3"/>
      <c r="D26" s="2" t="s">
        <v>169</v>
      </c>
      <c r="E26" s="3" t="s">
        <v>137</v>
      </c>
      <c r="F26" s="4">
        <v>5</v>
      </c>
      <c r="G26" s="2">
        <v>10</v>
      </c>
      <c r="H26" s="2"/>
      <c r="I26" s="2" t="s">
        <v>133</v>
      </c>
      <c r="J26" s="6"/>
      <c r="K26" t="s">
        <v>378</v>
      </c>
      <c r="L26" t="s">
        <v>132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 s="42">
        <f>100-Table2[[#This Row],[Exam Weight (%)]]</f>
        <v>100</v>
      </c>
      <c r="X2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169</v>
      </c>
      <c r="E27" s="2" t="s">
        <v>136</v>
      </c>
      <c r="F27" s="2">
        <v>6</v>
      </c>
      <c r="G27" s="2">
        <v>20</v>
      </c>
      <c r="H27" s="2"/>
      <c r="I27" s="2" t="s">
        <v>132</v>
      </c>
      <c r="J27" t="s">
        <v>132</v>
      </c>
      <c r="K27" t="s">
        <v>132</v>
      </c>
      <c r="L27" t="s">
        <v>132</v>
      </c>
      <c r="M27" t="s">
        <v>132</v>
      </c>
      <c r="U27">
        <v>4</v>
      </c>
      <c r="V27">
        <v>80</v>
      </c>
      <c r="W27" s="42">
        <f>100-Table2[[#This Row],[Exam Weight (%)]]</f>
        <v>20</v>
      </c>
      <c r="X2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233</v>
      </c>
      <c r="B28" s="2" t="s">
        <v>221</v>
      </c>
      <c r="C28" s="2" t="s">
        <v>234</v>
      </c>
      <c r="D28" s="2" t="s">
        <v>169</v>
      </c>
      <c r="E28" s="2" t="s">
        <v>136</v>
      </c>
      <c r="F28" s="2">
        <v>6</v>
      </c>
      <c r="G28" s="2">
        <v>10</v>
      </c>
      <c r="H28" s="2"/>
      <c r="I28" s="2" t="s">
        <v>133</v>
      </c>
      <c r="J28" t="s">
        <v>132</v>
      </c>
      <c r="K28" t="s">
        <v>133</v>
      </c>
      <c r="L28" t="s">
        <v>133</v>
      </c>
      <c r="M28" t="s">
        <v>133</v>
      </c>
      <c r="U28">
        <v>3</v>
      </c>
      <c r="V28">
        <v>70</v>
      </c>
      <c r="W28" s="42">
        <f>100-Table2[[#This Row],[Exam Weight (%)]]</f>
        <v>30</v>
      </c>
      <c r="X2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7</v>
      </c>
      <c r="B29" s="2" t="s">
        <v>8</v>
      </c>
      <c r="C29" s="2" t="s">
        <v>115</v>
      </c>
      <c r="D29" s="2" t="s">
        <v>169</v>
      </c>
      <c r="E29" s="2" t="s">
        <v>136</v>
      </c>
      <c r="F29" s="2">
        <v>6</v>
      </c>
      <c r="G29" s="2">
        <v>10</v>
      </c>
      <c r="H29" s="2"/>
      <c r="I29" s="2" t="s">
        <v>133</v>
      </c>
      <c r="J29" t="s">
        <v>133</v>
      </c>
      <c r="K29" t="s">
        <v>133</v>
      </c>
      <c r="L29" t="s">
        <v>133</v>
      </c>
      <c r="M29" t="s">
        <v>133</v>
      </c>
      <c r="U29">
        <v>2</v>
      </c>
      <c r="V29">
        <v>0</v>
      </c>
      <c r="W29" s="42">
        <f>100-Table2[[#This Row],[Exam Weight (%)]]</f>
        <v>100</v>
      </c>
      <c r="X2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9</v>
      </c>
      <c r="B30" s="2" t="s">
        <v>10</v>
      </c>
      <c r="C30" s="2" t="s">
        <v>116</v>
      </c>
      <c r="D30" s="2" t="s">
        <v>169</v>
      </c>
      <c r="E30" s="2" t="s">
        <v>136</v>
      </c>
      <c r="F30" s="2">
        <v>6</v>
      </c>
      <c r="G30" s="2">
        <v>10</v>
      </c>
      <c r="H30" s="2"/>
      <c r="I30" s="2" t="s">
        <v>133</v>
      </c>
      <c r="J30" s="2" t="s">
        <v>391</v>
      </c>
      <c r="K30" t="s">
        <v>133</v>
      </c>
      <c r="L30" t="s">
        <v>392</v>
      </c>
      <c r="U30">
        <v>2</v>
      </c>
      <c r="V30">
        <v>80</v>
      </c>
      <c r="W30" s="42">
        <f>100-Table2[[#This Row],[Exam Weight (%)]]</f>
        <v>20</v>
      </c>
      <c r="X3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12</v>
      </c>
      <c r="B31" s="2" t="s">
        <v>11</v>
      </c>
      <c r="C31" s="2" t="s">
        <v>117</v>
      </c>
      <c r="D31" s="2" t="s">
        <v>169</v>
      </c>
      <c r="E31" s="2" t="s">
        <v>136</v>
      </c>
      <c r="F31" s="2">
        <v>6</v>
      </c>
      <c r="G31" s="2">
        <v>10</v>
      </c>
      <c r="H31" s="2"/>
      <c r="I31" s="2" t="s">
        <v>133</v>
      </c>
      <c r="J31" t="s">
        <v>133</v>
      </c>
      <c r="K31" t="s">
        <v>133</v>
      </c>
      <c r="L31" t="s">
        <v>133</v>
      </c>
      <c r="M31" t="s">
        <v>133</v>
      </c>
      <c r="U31">
        <v>2</v>
      </c>
      <c r="V31">
        <v>0</v>
      </c>
      <c r="W31" s="42">
        <f>100-Table2[[#This Row],[Exam Weight (%)]]</f>
        <v>100</v>
      </c>
      <c r="X3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13</v>
      </c>
      <c r="B32" s="2" t="s">
        <v>134</v>
      </c>
      <c r="C32" s="2" t="s">
        <v>118</v>
      </c>
      <c r="D32" s="2" t="s">
        <v>169</v>
      </c>
      <c r="E32" s="2" t="s">
        <v>136</v>
      </c>
      <c r="F32" s="2">
        <v>6</v>
      </c>
      <c r="G32" s="2">
        <v>10</v>
      </c>
      <c r="H32" s="2"/>
      <c r="I32" s="2" t="s">
        <v>133</v>
      </c>
      <c r="J32" t="s">
        <v>133</v>
      </c>
      <c r="K32" s="6" t="s">
        <v>133</v>
      </c>
      <c r="L32" s="6"/>
      <c r="M32" s="6" t="s">
        <v>133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 s="42">
        <f>100-Table2[[#This Row],[Exam Weight (%)]]</f>
        <v>100</v>
      </c>
      <c r="X3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14</v>
      </c>
      <c r="B33" s="2" t="s">
        <v>15</v>
      </c>
      <c r="C33" s="2" t="s">
        <v>119</v>
      </c>
      <c r="D33" s="2" t="s">
        <v>169</v>
      </c>
      <c r="E33" s="2" t="s">
        <v>136</v>
      </c>
      <c r="F33" s="2">
        <v>6</v>
      </c>
      <c r="G33" s="2">
        <v>10</v>
      </c>
      <c r="H33" s="2"/>
      <c r="I33" s="2" t="s">
        <v>133</v>
      </c>
      <c r="J33" s="2" t="s">
        <v>391</v>
      </c>
      <c r="K33" t="s">
        <v>133</v>
      </c>
      <c r="L33" t="s">
        <v>392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 s="42">
        <f>100-Table2[[#This Row],[Exam Weight (%)]]</f>
        <v>30</v>
      </c>
      <c r="X3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16</v>
      </c>
      <c r="B34" s="2" t="s">
        <v>17</v>
      </c>
      <c r="C34" s="2" t="s">
        <v>120</v>
      </c>
      <c r="D34" s="2" t="s">
        <v>169</v>
      </c>
      <c r="E34" s="2" t="s">
        <v>136</v>
      </c>
      <c r="F34" s="2">
        <v>6</v>
      </c>
      <c r="G34" s="2">
        <v>10</v>
      </c>
      <c r="H34" s="2"/>
      <c r="I34" s="2" t="s">
        <v>133</v>
      </c>
      <c r="J34" t="s">
        <v>133</v>
      </c>
      <c r="K34" s="6" t="s">
        <v>133</v>
      </c>
      <c r="L34" s="6" t="s">
        <v>133</v>
      </c>
      <c r="M34" s="6" t="s">
        <v>133</v>
      </c>
      <c r="N34" s="6"/>
      <c r="O34" s="6"/>
      <c r="P34" s="6"/>
      <c r="Q34" s="6"/>
      <c r="R34" s="6"/>
      <c r="S34" s="6"/>
      <c r="T34" s="6"/>
      <c r="U34" s="6">
        <v>2</v>
      </c>
      <c r="V34">
        <v>70</v>
      </c>
      <c r="W34" s="42">
        <f>100-Table2[[#This Row],[Exam Weight (%)]]</f>
        <v>30</v>
      </c>
      <c r="X3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4">
      <c r="A35" s="4" t="s">
        <v>22</v>
      </c>
      <c r="B35" s="2" t="s">
        <v>18</v>
      </c>
      <c r="C35" s="2" t="s">
        <v>121</v>
      </c>
      <c r="D35" s="2" t="s">
        <v>169</v>
      </c>
      <c r="E35" s="2" t="s">
        <v>136</v>
      </c>
      <c r="F35" s="2">
        <v>6</v>
      </c>
      <c r="G35" s="2">
        <v>10</v>
      </c>
      <c r="H35" s="2"/>
      <c r="I35" s="2" t="s">
        <v>133</v>
      </c>
      <c r="J35" t="s">
        <v>133</v>
      </c>
      <c r="K35" s="6" t="s">
        <v>133</v>
      </c>
      <c r="L35" s="6" t="s">
        <v>133</v>
      </c>
      <c r="M35" s="6" t="s">
        <v>133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 s="42">
        <f>100-Table2[[#This Row],[Exam Weight (%)]]</f>
        <v>100</v>
      </c>
      <c r="X3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19</v>
      </c>
      <c r="B36" s="2" t="s">
        <v>20</v>
      </c>
      <c r="C36" s="2"/>
      <c r="D36" s="2" t="s">
        <v>169</v>
      </c>
      <c r="E36" s="2" t="s">
        <v>136</v>
      </c>
      <c r="F36" s="2">
        <v>6</v>
      </c>
      <c r="G36" s="2">
        <v>10</v>
      </c>
      <c r="H36" s="2"/>
      <c r="I36" s="2" t="s">
        <v>133</v>
      </c>
      <c r="J36" t="s">
        <v>133</v>
      </c>
      <c r="K36" s="6"/>
      <c r="L36" s="6"/>
      <c r="M36" s="6" t="s">
        <v>132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 s="42">
        <f>100-Table2[[#This Row],[Exam Weight (%)]]</f>
        <v>20</v>
      </c>
      <c r="X3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97</v>
      </c>
      <c r="B37" s="3" t="s">
        <v>87</v>
      </c>
      <c r="C37" s="3"/>
      <c r="D37" s="2" t="s">
        <v>169</v>
      </c>
      <c r="E37" s="3" t="s">
        <v>137</v>
      </c>
      <c r="F37" s="2">
        <v>6</v>
      </c>
      <c r="G37" s="2">
        <v>20</v>
      </c>
      <c r="H37" s="2"/>
      <c r="I37" s="2" t="s">
        <v>132</v>
      </c>
      <c r="J37" t="s">
        <v>132</v>
      </c>
      <c r="K37" t="s">
        <v>132</v>
      </c>
      <c r="L37" t="s">
        <v>132</v>
      </c>
      <c r="M37" t="s">
        <v>133</v>
      </c>
      <c r="U37">
        <v>4</v>
      </c>
      <c r="V37">
        <v>70</v>
      </c>
      <c r="W37" s="42">
        <f>100-Table2[[#This Row],[Exam Weight (%)]]</f>
        <v>30</v>
      </c>
      <c r="X3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177</v>
      </c>
      <c r="B38" s="3" t="s">
        <v>88</v>
      </c>
      <c r="C38" s="3"/>
      <c r="D38" s="2" t="s">
        <v>169</v>
      </c>
      <c r="E38" s="3" t="s">
        <v>137</v>
      </c>
      <c r="F38" s="2">
        <v>6</v>
      </c>
      <c r="G38" s="2">
        <v>10</v>
      </c>
      <c r="H38" s="2"/>
      <c r="I38" s="2" t="s">
        <v>133</v>
      </c>
      <c r="J38" t="s">
        <v>133</v>
      </c>
      <c r="K38" t="s">
        <v>133</v>
      </c>
      <c r="M38" t="s">
        <v>133</v>
      </c>
      <c r="U38">
        <v>2</v>
      </c>
      <c r="V38">
        <v>80</v>
      </c>
      <c r="W38" s="42">
        <f>100-Table2[[#This Row],[Exam Weight (%)]]</f>
        <v>20</v>
      </c>
      <c r="X3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98</v>
      </c>
      <c r="B39" s="3" t="s">
        <v>342</v>
      </c>
      <c r="C39" s="3" t="s">
        <v>358</v>
      </c>
      <c r="D39" s="27" t="s">
        <v>169</v>
      </c>
      <c r="E39" s="3" t="s">
        <v>137</v>
      </c>
      <c r="F39" s="4">
        <v>6</v>
      </c>
      <c r="G39" s="41">
        <v>10</v>
      </c>
      <c r="H39" s="41"/>
      <c r="I39" s="27" t="s">
        <v>133</v>
      </c>
      <c r="J39" t="s">
        <v>133</v>
      </c>
      <c r="K39" t="s">
        <v>133</v>
      </c>
      <c r="U39">
        <v>2</v>
      </c>
      <c r="V39">
        <v>80</v>
      </c>
      <c r="W39" s="42">
        <f>100-Table2[[#This Row],[Exam Weight (%)]]</f>
        <v>20</v>
      </c>
      <c r="X3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178</v>
      </c>
      <c r="B40" s="3" t="s">
        <v>89</v>
      </c>
      <c r="C40" s="3" t="s">
        <v>139</v>
      </c>
      <c r="D40" s="2" t="s">
        <v>169</v>
      </c>
      <c r="E40" s="3" t="s">
        <v>137</v>
      </c>
      <c r="F40" s="2">
        <v>6</v>
      </c>
      <c r="G40" s="2">
        <v>10</v>
      </c>
      <c r="H40" s="2"/>
      <c r="I40" s="2" t="s">
        <v>133</v>
      </c>
      <c r="J40" s="2" t="s">
        <v>391</v>
      </c>
      <c r="K40" s="6" t="s">
        <v>133</v>
      </c>
      <c r="L40" t="s">
        <v>392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 s="42">
        <f>100-Table2[[#This Row],[Exam Weight (%)]]</f>
        <v>40</v>
      </c>
      <c r="X4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99</v>
      </c>
      <c r="B41" s="3" t="s">
        <v>90</v>
      </c>
      <c r="C41" s="3" t="s">
        <v>140</v>
      </c>
      <c r="D41" s="2" t="s">
        <v>169</v>
      </c>
      <c r="E41" s="3" t="s">
        <v>137</v>
      </c>
      <c r="F41" s="2">
        <v>6</v>
      </c>
      <c r="G41" s="2">
        <v>10</v>
      </c>
      <c r="H41" s="2"/>
      <c r="I41" s="2" t="s">
        <v>133</v>
      </c>
      <c r="J41" t="s">
        <v>133</v>
      </c>
      <c r="K41" t="s">
        <v>133</v>
      </c>
      <c r="L41" t="s">
        <v>133</v>
      </c>
      <c r="M41" t="s">
        <v>133</v>
      </c>
      <c r="U41">
        <v>2</v>
      </c>
      <c r="V41">
        <v>0</v>
      </c>
      <c r="W41" s="42">
        <f>100-Table2[[#This Row],[Exam Weight (%)]]</f>
        <v>100</v>
      </c>
      <c r="X4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91</v>
      </c>
      <c r="B42" s="3" t="s">
        <v>92</v>
      </c>
      <c r="C42" s="3" t="s">
        <v>141</v>
      </c>
      <c r="D42" s="2" t="s">
        <v>169</v>
      </c>
      <c r="E42" s="3" t="s">
        <v>137</v>
      </c>
      <c r="F42" s="2">
        <v>6</v>
      </c>
      <c r="G42" s="2">
        <v>10</v>
      </c>
      <c r="H42" s="2"/>
      <c r="I42" s="2" t="s">
        <v>133</v>
      </c>
      <c r="J42" s="2" t="s">
        <v>391</v>
      </c>
      <c r="K42" t="s">
        <v>133</v>
      </c>
      <c r="L42" t="s">
        <v>392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 s="42">
        <f>100-Table2[[#This Row],[Exam Weight (%)]]</f>
        <v>20</v>
      </c>
      <c r="X4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93</v>
      </c>
      <c r="B43" s="3" t="s">
        <v>94</v>
      </c>
      <c r="C43" s="3"/>
      <c r="D43" s="2" t="s">
        <v>169</v>
      </c>
      <c r="E43" s="3" t="s">
        <v>137</v>
      </c>
      <c r="F43" s="2">
        <v>6</v>
      </c>
      <c r="G43" s="2">
        <v>10</v>
      </c>
      <c r="H43" s="2"/>
      <c r="I43" s="2" t="s">
        <v>133</v>
      </c>
      <c r="J43" t="s">
        <v>133</v>
      </c>
      <c r="K43" s="6" t="s">
        <v>133</v>
      </c>
      <c r="L43" s="6"/>
      <c r="M43" s="6" t="s">
        <v>132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 s="42">
        <f>100-Table2[[#This Row],[Exam Weight (%)]]</f>
        <v>20</v>
      </c>
      <c r="X4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95</v>
      </c>
      <c r="B44" s="3" t="s">
        <v>96</v>
      </c>
      <c r="C44" s="3"/>
      <c r="D44" s="2" t="s">
        <v>169</v>
      </c>
      <c r="E44" s="3" t="s">
        <v>137</v>
      </c>
      <c r="F44" s="2">
        <v>6</v>
      </c>
      <c r="G44" s="2">
        <v>10</v>
      </c>
      <c r="H44" s="2"/>
      <c r="I44" s="2" t="s">
        <v>133</v>
      </c>
      <c r="J44" t="s">
        <v>133</v>
      </c>
      <c r="K44" s="6" t="s">
        <v>133</v>
      </c>
      <c r="L44" s="6"/>
      <c r="M44" s="6" t="s">
        <v>132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 s="42">
        <f>100-Table2[[#This Row],[Exam Weight (%)]]</f>
        <v>20</v>
      </c>
      <c r="X4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43</v>
      </c>
      <c r="B45" s="2" t="s">
        <v>21</v>
      </c>
      <c r="C45" s="2"/>
      <c r="D45" s="2" t="s">
        <v>169</v>
      </c>
      <c r="E45" s="2" t="s">
        <v>138</v>
      </c>
      <c r="F45" s="2">
        <v>6</v>
      </c>
      <c r="G45" s="2">
        <v>30</v>
      </c>
      <c r="H45" s="2"/>
      <c r="I45" s="2" t="s">
        <v>393</v>
      </c>
      <c r="J45" t="s">
        <v>132</v>
      </c>
      <c r="K45" t="s">
        <v>132</v>
      </c>
      <c r="U45">
        <v>0.5</v>
      </c>
      <c r="V45">
        <v>0</v>
      </c>
      <c r="W45" s="42">
        <f>100-Table2[[#This Row],[Exam Weight (%)]]</f>
        <v>100</v>
      </c>
      <c r="X4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380</v>
      </c>
      <c r="B46" s="2" t="s">
        <v>379</v>
      </c>
      <c r="C46" s="3"/>
      <c r="D46" s="27" t="s">
        <v>169</v>
      </c>
      <c r="E46" s="2" t="s">
        <v>138</v>
      </c>
      <c r="F46" s="2">
        <v>6</v>
      </c>
      <c r="G46" s="2">
        <v>30</v>
      </c>
      <c r="H46" s="2" t="s">
        <v>43</v>
      </c>
      <c r="I46" s="27"/>
      <c r="L46" t="s">
        <v>132</v>
      </c>
      <c r="U46">
        <v>0.5</v>
      </c>
      <c r="V46">
        <v>0</v>
      </c>
      <c r="W46" s="42">
        <f>100-Table2[[#This Row],[Exam Weight (%)]]</f>
        <v>100</v>
      </c>
      <c r="X4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381</v>
      </c>
      <c r="B47" s="2" t="s">
        <v>382</v>
      </c>
      <c r="C47" s="3"/>
      <c r="D47" s="27" t="s">
        <v>169</v>
      </c>
      <c r="E47" s="2" t="s">
        <v>138</v>
      </c>
      <c r="F47" s="2">
        <v>6</v>
      </c>
      <c r="G47" s="2">
        <v>30</v>
      </c>
      <c r="H47" s="2" t="s">
        <v>43</v>
      </c>
      <c r="I47" s="27"/>
      <c r="M47" t="s">
        <v>132</v>
      </c>
      <c r="U47">
        <v>0.5</v>
      </c>
      <c r="V47">
        <v>0</v>
      </c>
      <c r="W47" s="42">
        <f>100-Table2[[#This Row],[Exam Weight (%)]]</f>
        <v>100</v>
      </c>
      <c r="X4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54</v>
      </c>
      <c r="B48" s="2" t="s">
        <v>55</v>
      </c>
      <c r="C48" s="2" t="s">
        <v>122</v>
      </c>
      <c r="D48" s="2" t="s">
        <v>169</v>
      </c>
      <c r="E48" s="2" t="s">
        <v>136</v>
      </c>
      <c r="F48" s="2">
        <v>7</v>
      </c>
      <c r="G48" s="2">
        <v>10</v>
      </c>
      <c r="H48" s="2"/>
      <c r="I48" s="2" t="s">
        <v>133</v>
      </c>
      <c r="J48" t="s">
        <v>133</v>
      </c>
      <c r="K48" t="s">
        <v>133</v>
      </c>
      <c r="L48" t="s">
        <v>132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 s="42">
        <f>100-Table2[[#This Row],[Exam Weight (%)]]</f>
        <v>30</v>
      </c>
      <c r="X4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223</v>
      </c>
      <c r="B49" s="2" t="s">
        <v>222</v>
      </c>
      <c r="C49" s="2" t="s">
        <v>236</v>
      </c>
      <c r="D49" s="2" t="s">
        <v>169</v>
      </c>
      <c r="E49" s="2" t="s">
        <v>136</v>
      </c>
      <c r="F49" s="2">
        <v>7</v>
      </c>
      <c r="G49" s="2">
        <v>10</v>
      </c>
      <c r="H49" s="2"/>
      <c r="I49" s="2" t="s">
        <v>133</v>
      </c>
      <c r="J49" t="s">
        <v>133</v>
      </c>
      <c r="K49" t="s">
        <v>133</v>
      </c>
      <c r="L49" t="s">
        <v>133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 s="42">
        <f>100-Table2[[#This Row],[Exam Weight (%)]]</f>
        <v>30</v>
      </c>
      <c r="X4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56</v>
      </c>
      <c r="B50" s="2" t="s">
        <v>279</v>
      </c>
      <c r="C50" s="2" t="s">
        <v>123</v>
      </c>
      <c r="D50" s="2" t="s">
        <v>169</v>
      </c>
      <c r="E50" s="2" t="s">
        <v>136</v>
      </c>
      <c r="F50" s="2">
        <v>7</v>
      </c>
      <c r="G50" s="2">
        <v>10</v>
      </c>
      <c r="H50" s="2"/>
      <c r="I50" s="2" t="s">
        <v>133</v>
      </c>
      <c r="J50" t="s">
        <v>133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 s="42">
        <f>100-Table2[[#This Row],[Exam Weight (%)]]</f>
        <v>25</v>
      </c>
      <c r="X5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58</v>
      </c>
      <c r="B51" s="2" t="s">
        <v>59</v>
      </c>
      <c r="C51" s="2" t="s">
        <v>124</v>
      </c>
      <c r="D51" s="2" t="s">
        <v>169</v>
      </c>
      <c r="E51" s="2" t="s">
        <v>136</v>
      </c>
      <c r="F51" s="2">
        <v>7</v>
      </c>
      <c r="G51" s="2">
        <v>10</v>
      </c>
      <c r="H51" s="2"/>
      <c r="I51" s="2" t="s">
        <v>133</v>
      </c>
      <c r="J51" t="s">
        <v>133</v>
      </c>
      <c r="K51" t="s">
        <v>133</v>
      </c>
      <c r="L51" t="s">
        <v>133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 s="42">
        <f>100-Table2[[#This Row],[Exam Weight (%)]]</f>
        <v>30</v>
      </c>
      <c r="X5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2" spans="1:24">
      <c r="A52" s="4" t="s">
        <v>61</v>
      </c>
      <c r="B52" s="2" t="s">
        <v>62</v>
      </c>
      <c r="C52" s="2" t="s">
        <v>125</v>
      </c>
      <c r="D52" s="2" t="s">
        <v>169</v>
      </c>
      <c r="E52" s="2" t="s">
        <v>136</v>
      </c>
      <c r="F52" s="2">
        <v>7</v>
      </c>
      <c r="G52" s="2">
        <v>10</v>
      </c>
      <c r="H52" s="2"/>
      <c r="I52" s="2" t="s">
        <v>133</v>
      </c>
      <c r="J52" t="s">
        <v>133</v>
      </c>
      <c r="K52" t="s">
        <v>133</v>
      </c>
      <c r="L52" t="s">
        <v>133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 s="42">
        <f>100-Table2[[#This Row],[Exam Weight (%)]]</f>
        <v>100</v>
      </c>
      <c r="X5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63</v>
      </c>
      <c r="B53" s="2" t="s">
        <v>64</v>
      </c>
      <c r="C53" s="2" t="s">
        <v>126</v>
      </c>
      <c r="D53" s="2" t="s">
        <v>169</v>
      </c>
      <c r="E53" s="2" t="s">
        <v>136</v>
      </c>
      <c r="F53" s="2">
        <v>7</v>
      </c>
      <c r="G53" s="2">
        <v>10</v>
      </c>
      <c r="H53" s="2"/>
      <c r="I53" s="2" t="s">
        <v>133</v>
      </c>
      <c r="J53" t="s">
        <v>133</v>
      </c>
      <c r="K53" t="s">
        <v>133</v>
      </c>
      <c r="L53" t="s">
        <v>133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 s="42">
        <f>100-Table2[[#This Row],[Exam Weight (%)]]</f>
        <v>50</v>
      </c>
      <c r="X5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179</v>
      </c>
      <c r="B54" s="3" t="s">
        <v>100</v>
      </c>
      <c r="C54" s="3" t="s">
        <v>143</v>
      </c>
      <c r="D54" s="2" t="s">
        <v>169</v>
      </c>
      <c r="E54" s="3" t="s">
        <v>137</v>
      </c>
      <c r="F54" s="2">
        <v>7</v>
      </c>
      <c r="G54" s="2">
        <v>10</v>
      </c>
      <c r="H54" s="2"/>
      <c r="I54" s="2" t="s">
        <v>133</v>
      </c>
      <c r="J54" t="s">
        <v>133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 s="42">
        <f>100-Table2[[#This Row],[Exam Weight (%)]]</f>
        <v>20</v>
      </c>
      <c r="X5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180</v>
      </c>
      <c r="B55" s="3" t="s">
        <v>101</v>
      </c>
      <c r="C55" s="3" t="s">
        <v>142</v>
      </c>
      <c r="D55" s="2" t="s">
        <v>169</v>
      </c>
      <c r="E55" s="3" t="s">
        <v>137</v>
      </c>
      <c r="F55" s="2">
        <v>7</v>
      </c>
      <c r="G55" s="2">
        <v>10</v>
      </c>
      <c r="H55" s="2"/>
      <c r="I55" s="2" t="s">
        <v>133</v>
      </c>
      <c r="J55" t="s">
        <v>133</v>
      </c>
      <c r="K55" t="s">
        <v>133</v>
      </c>
      <c r="L55" t="s">
        <v>133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 s="42">
        <f>100-Table2[[#This Row],[Exam Weight (%)]]</f>
        <v>30</v>
      </c>
      <c r="X5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181</v>
      </c>
      <c r="B56" s="3" t="s">
        <v>102</v>
      </c>
      <c r="C56" s="3" t="s">
        <v>144</v>
      </c>
      <c r="D56" s="2" t="s">
        <v>169</v>
      </c>
      <c r="E56" s="3" t="s">
        <v>137</v>
      </c>
      <c r="F56" s="2">
        <v>7</v>
      </c>
      <c r="G56" s="2">
        <v>10</v>
      </c>
      <c r="H56" s="2"/>
      <c r="I56" s="2" t="s">
        <v>133</v>
      </c>
      <c r="J56" t="s">
        <v>133</v>
      </c>
      <c r="K56" t="s">
        <v>133</v>
      </c>
      <c r="L56" t="s">
        <v>133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 s="42">
        <f>100-Table2[[#This Row],[Exam Weight (%)]]</f>
        <v>60</v>
      </c>
      <c r="X5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182</v>
      </c>
      <c r="B57" s="3" t="s">
        <v>103</v>
      </c>
      <c r="C57" s="3" t="s">
        <v>145</v>
      </c>
      <c r="D57" s="2" t="s">
        <v>169</v>
      </c>
      <c r="E57" s="3" t="s">
        <v>137</v>
      </c>
      <c r="F57" s="2">
        <v>7</v>
      </c>
      <c r="G57" s="2">
        <v>10</v>
      </c>
      <c r="H57" s="2"/>
      <c r="I57" s="2" t="s">
        <v>133</v>
      </c>
      <c r="J57" s="6"/>
      <c r="K57" t="s">
        <v>133</v>
      </c>
      <c r="L57" t="s">
        <v>132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 s="42">
        <f>100-Table2[[#This Row],[Exam Weight (%)]]</f>
        <v>20</v>
      </c>
      <c r="X5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104</v>
      </c>
      <c r="B58" s="3" t="s">
        <v>105</v>
      </c>
      <c r="C58" s="3" t="s">
        <v>146</v>
      </c>
      <c r="D58" s="2" t="s">
        <v>169</v>
      </c>
      <c r="E58" s="3" t="s">
        <v>137</v>
      </c>
      <c r="F58" s="2">
        <v>7</v>
      </c>
      <c r="G58" s="2">
        <v>10</v>
      </c>
      <c r="H58" s="2"/>
      <c r="I58" s="2" t="s">
        <v>133</v>
      </c>
      <c r="J58" t="s">
        <v>133</v>
      </c>
      <c r="K58" t="s">
        <v>133</v>
      </c>
      <c r="L58" t="s">
        <v>133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 s="42">
        <f>100-Table2[[#This Row],[Exam Weight (%)]]</f>
        <v>100</v>
      </c>
      <c r="X5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106</v>
      </c>
      <c r="B59" s="3" t="s">
        <v>107</v>
      </c>
      <c r="C59" s="3" t="s">
        <v>147</v>
      </c>
      <c r="D59" s="2" t="s">
        <v>169</v>
      </c>
      <c r="E59" s="3" t="s">
        <v>137</v>
      </c>
      <c r="F59" s="2">
        <v>7</v>
      </c>
      <c r="G59" s="2">
        <v>10</v>
      </c>
      <c r="H59" s="2"/>
      <c r="I59" s="2" t="s">
        <v>133</v>
      </c>
      <c r="J59" t="s">
        <v>133</v>
      </c>
      <c r="K59" t="s">
        <v>133</v>
      </c>
      <c r="L59" t="s">
        <v>133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 s="42">
        <f>100-Table2[[#This Row],[Exam Weight (%)]]</f>
        <v>30</v>
      </c>
      <c r="X5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60</v>
      </c>
      <c r="B60" s="3" t="s">
        <v>148</v>
      </c>
      <c r="C60" s="3" t="s">
        <v>149</v>
      </c>
      <c r="D60" s="2" t="s">
        <v>169</v>
      </c>
      <c r="E60" s="3" t="s">
        <v>137</v>
      </c>
      <c r="F60" s="2">
        <v>7</v>
      </c>
      <c r="G60" s="2">
        <v>10</v>
      </c>
      <c r="H60" s="2"/>
      <c r="I60" s="2" t="s">
        <v>133</v>
      </c>
      <c r="J60" t="s">
        <v>133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 s="42">
        <f>100-Table2[[#This Row],[Exam Weight (%)]]</f>
        <v>50</v>
      </c>
      <c r="X6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183</v>
      </c>
      <c r="B61" s="3" t="s">
        <v>108</v>
      </c>
      <c r="C61" s="3" t="s">
        <v>150</v>
      </c>
      <c r="D61" s="2" t="s">
        <v>169</v>
      </c>
      <c r="E61" s="3" t="s">
        <v>137</v>
      </c>
      <c r="F61" s="2">
        <v>7</v>
      </c>
      <c r="G61" s="2">
        <v>10</v>
      </c>
      <c r="H61" s="2"/>
      <c r="I61" s="2" t="s">
        <v>133</v>
      </c>
      <c r="J61" t="s">
        <v>133</v>
      </c>
      <c r="K61" t="s">
        <v>133</v>
      </c>
      <c r="L61" t="s">
        <v>133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 s="42">
        <f>100-Table2[[#This Row],[Exam Weight (%)]]</f>
        <v>40</v>
      </c>
      <c r="X6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184</v>
      </c>
      <c r="B62" s="3" t="s">
        <v>109</v>
      </c>
      <c r="C62" s="3" t="s">
        <v>151</v>
      </c>
      <c r="D62" s="2" t="s">
        <v>169</v>
      </c>
      <c r="E62" s="3" t="s">
        <v>137</v>
      </c>
      <c r="F62" s="2">
        <v>7</v>
      </c>
      <c r="G62" s="2">
        <v>10</v>
      </c>
      <c r="H62" s="2"/>
      <c r="I62" s="2" t="s">
        <v>133</v>
      </c>
      <c r="J62" t="s">
        <v>133</v>
      </c>
      <c r="K62" t="s">
        <v>133</v>
      </c>
      <c r="L62" t="s">
        <v>133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 s="42">
        <f>100-Table2[[#This Row],[Exam Weight (%)]]</f>
        <v>100</v>
      </c>
      <c r="X6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224</v>
      </c>
      <c r="B63" s="3" t="s">
        <v>225</v>
      </c>
      <c r="C63" s="3" t="s">
        <v>235</v>
      </c>
      <c r="D63" s="27" t="s">
        <v>169</v>
      </c>
      <c r="E63" s="3" t="s">
        <v>137</v>
      </c>
      <c r="F63" s="4">
        <v>7</v>
      </c>
      <c r="G63" s="27">
        <v>10</v>
      </c>
      <c r="H63" s="27"/>
      <c r="I63" s="27" t="s">
        <v>133</v>
      </c>
      <c r="J63" t="s">
        <v>133</v>
      </c>
      <c r="K63" t="s">
        <v>133</v>
      </c>
      <c r="L63" t="s">
        <v>133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 s="42">
        <f>100-Table2[[#This Row],[Exam Weight (%)]]</f>
        <v>50</v>
      </c>
      <c r="X6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65</v>
      </c>
      <c r="B64" s="2" t="s">
        <v>21</v>
      </c>
      <c r="C64" s="2"/>
      <c r="D64" s="2" t="s">
        <v>169</v>
      </c>
      <c r="E64" s="2" t="s">
        <v>138</v>
      </c>
      <c r="F64" s="2">
        <v>7</v>
      </c>
      <c r="G64" s="2">
        <v>60</v>
      </c>
      <c r="H64" s="2"/>
      <c r="I64" s="2" t="s">
        <v>394</v>
      </c>
      <c r="J64" t="s">
        <v>132</v>
      </c>
      <c r="K64" t="s">
        <v>132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 s="42">
        <f>100-Table2[[#This Row],[Exam Weight (%)]]</f>
        <v>75</v>
      </c>
      <c r="X6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4" t="s">
        <v>388</v>
      </c>
      <c r="B65" s="2" t="s">
        <v>379</v>
      </c>
      <c r="C65" s="2"/>
      <c r="D65" s="2" t="s">
        <v>169</v>
      </c>
      <c r="E65" s="2" t="s">
        <v>138</v>
      </c>
      <c r="F65" s="2">
        <v>7</v>
      </c>
      <c r="G65" s="2">
        <v>60</v>
      </c>
      <c r="H65" s="2" t="s">
        <v>65</v>
      </c>
      <c r="I65" s="27"/>
      <c r="L65" t="s">
        <v>132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 s="42">
        <f>100-Table2[[#This Row],[Exam Weight (%)]]</f>
        <v>75</v>
      </c>
      <c r="X6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234</v>
      </c>
      <c r="B66" s="3" t="s">
        <v>221</v>
      </c>
      <c r="C66" s="3" t="s">
        <v>233</v>
      </c>
      <c r="D66" s="27" t="s">
        <v>167</v>
      </c>
      <c r="E66" s="3" t="s">
        <v>136</v>
      </c>
      <c r="F66" s="4">
        <v>7</v>
      </c>
      <c r="G66" s="2">
        <v>10</v>
      </c>
      <c r="H66" s="2"/>
      <c r="I66" s="2"/>
      <c r="N66" t="s">
        <v>133</v>
      </c>
      <c r="O66" t="s">
        <v>133</v>
      </c>
      <c r="U66">
        <f>INDEX(U2:U64,MATCH(Table2[[#This Row],[Alternative Module Code]],A2:A64,0))</f>
        <v>3</v>
      </c>
      <c r="V66">
        <v>70</v>
      </c>
      <c r="W66" s="42">
        <f>100-Table2[[#This Row],[Exam Weight (%)]]</f>
        <v>30</v>
      </c>
      <c r="X6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115</v>
      </c>
      <c r="B67" s="3" t="s">
        <v>8</v>
      </c>
      <c r="C67" s="3" t="s">
        <v>7</v>
      </c>
      <c r="D67" s="27" t="s">
        <v>167</v>
      </c>
      <c r="E67" s="3" t="s">
        <v>136</v>
      </c>
      <c r="F67" s="4">
        <v>7</v>
      </c>
      <c r="G67" s="2">
        <v>10</v>
      </c>
      <c r="H67" s="2"/>
      <c r="I67" s="2"/>
      <c r="N67" t="s">
        <v>133</v>
      </c>
      <c r="O67" t="s">
        <v>133</v>
      </c>
      <c r="P67" t="s">
        <v>133</v>
      </c>
      <c r="S67" t="s">
        <v>133</v>
      </c>
      <c r="U67">
        <f>INDEX(U3:U66,MATCH(Table2[[#This Row],[Alternative Module Code]],A3:A66,0))</f>
        <v>2</v>
      </c>
      <c r="V67">
        <v>0</v>
      </c>
      <c r="W67" s="42">
        <f>100-Table2[[#This Row],[Exam Weight (%)]]</f>
        <v>100</v>
      </c>
      <c r="X6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116</v>
      </c>
      <c r="B68" s="3" t="s">
        <v>10</v>
      </c>
      <c r="C68" s="3" t="s">
        <v>9</v>
      </c>
      <c r="D68" s="27" t="s">
        <v>167</v>
      </c>
      <c r="E68" s="3" t="s">
        <v>136</v>
      </c>
      <c r="F68" s="4">
        <v>7</v>
      </c>
      <c r="G68" s="2">
        <v>10</v>
      </c>
      <c r="H68" s="2"/>
      <c r="I68" s="2"/>
      <c r="N68" t="s">
        <v>133</v>
      </c>
      <c r="P68" t="s">
        <v>133</v>
      </c>
      <c r="R68" t="s">
        <v>133</v>
      </c>
      <c r="U68">
        <f>INDEX(U4:U67,MATCH(Table2[[#This Row],[Alternative Module Code]],A4:A67,0))</f>
        <v>2</v>
      </c>
      <c r="V68">
        <v>80</v>
      </c>
      <c r="W68" s="42">
        <f>100-Table2[[#This Row],[Exam Weight (%)]]</f>
        <v>20</v>
      </c>
      <c r="X6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117</v>
      </c>
      <c r="B69" s="3" t="s">
        <v>11</v>
      </c>
      <c r="C69" s="3" t="s">
        <v>12</v>
      </c>
      <c r="D69" s="27" t="s">
        <v>167</v>
      </c>
      <c r="E69" s="3" t="s">
        <v>136</v>
      </c>
      <c r="F69" s="4">
        <v>7</v>
      </c>
      <c r="G69" s="2">
        <v>10</v>
      </c>
      <c r="H69" s="2"/>
      <c r="I69" s="2"/>
      <c r="N69" t="s">
        <v>133</v>
      </c>
      <c r="O69" t="s">
        <v>133</v>
      </c>
      <c r="U69">
        <f>INDEX(U5:U68,MATCH(Table2[[#This Row],[Alternative Module Code]],A5:A68,0))</f>
        <v>2</v>
      </c>
      <c r="V69">
        <v>0</v>
      </c>
      <c r="W69" s="42">
        <f>100-Table2[[#This Row],[Exam Weight (%)]]</f>
        <v>100</v>
      </c>
      <c r="X6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118</v>
      </c>
      <c r="B70" s="3" t="s">
        <v>134</v>
      </c>
      <c r="C70" s="3" t="s">
        <v>13</v>
      </c>
      <c r="D70" s="27" t="s">
        <v>167</v>
      </c>
      <c r="E70" s="3" t="s">
        <v>136</v>
      </c>
      <c r="F70" s="4">
        <v>7</v>
      </c>
      <c r="G70" s="2">
        <v>10</v>
      </c>
      <c r="H70" s="2"/>
      <c r="I70" s="2"/>
      <c r="N70" t="s">
        <v>133</v>
      </c>
      <c r="O70" t="s">
        <v>133</v>
      </c>
      <c r="U70">
        <f>INDEX(U6:U69,MATCH(Table2[[#This Row],[Alternative Module Code]],A6:A69,0))</f>
        <v>2</v>
      </c>
      <c r="V70">
        <v>0</v>
      </c>
      <c r="W70" s="42">
        <f>100-Table2[[#This Row],[Exam Weight (%)]]</f>
        <v>100</v>
      </c>
      <c r="X7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119</v>
      </c>
      <c r="B71" s="3" t="s">
        <v>15</v>
      </c>
      <c r="C71" s="3" t="s">
        <v>14</v>
      </c>
      <c r="D71" s="27" t="s">
        <v>167</v>
      </c>
      <c r="E71" s="3" t="s">
        <v>136</v>
      </c>
      <c r="F71" s="4">
        <v>7</v>
      </c>
      <c r="G71" s="2">
        <v>10</v>
      </c>
      <c r="H71" s="2"/>
      <c r="I71" s="2"/>
      <c r="N71" t="s">
        <v>133</v>
      </c>
      <c r="P71" t="s">
        <v>133</v>
      </c>
      <c r="R71" t="s">
        <v>133</v>
      </c>
      <c r="U71">
        <f>INDEX(U7:U70,MATCH(Table2[[#This Row],[Alternative Module Code]],A7:A70,0))</f>
        <v>2</v>
      </c>
      <c r="V71">
        <v>70</v>
      </c>
      <c r="W71" s="42">
        <f>100-Table2[[#This Row],[Exam Weight (%)]]</f>
        <v>30</v>
      </c>
      <c r="X7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120</v>
      </c>
      <c r="B72" s="3" t="s">
        <v>17</v>
      </c>
      <c r="C72" s="3" t="s">
        <v>16</v>
      </c>
      <c r="D72" s="27" t="s">
        <v>167</v>
      </c>
      <c r="E72" s="3" t="s">
        <v>136</v>
      </c>
      <c r="F72" s="4">
        <v>7</v>
      </c>
      <c r="G72" s="2">
        <v>10</v>
      </c>
      <c r="H72" s="2"/>
      <c r="I72" s="2"/>
      <c r="N72" t="s">
        <v>133</v>
      </c>
      <c r="O72" t="s">
        <v>133</v>
      </c>
      <c r="P72" t="s">
        <v>133</v>
      </c>
      <c r="Q72" t="s">
        <v>133</v>
      </c>
      <c r="U72">
        <f>INDEX(U8:U71,MATCH(Table2[[#This Row],[Alternative Module Code]],A8:A71,0))</f>
        <v>2</v>
      </c>
      <c r="V72">
        <v>70</v>
      </c>
      <c r="W72" s="42">
        <f>100-Table2[[#This Row],[Exam Weight (%)]]</f>
        <v>30</v>
      </c>
      <c r="X7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3" spans="1:24">
      <c r="A73" s="3" t="s">
        <v>121</v>
      </c>
      <c r="B73" s="3" t="s">
        <v>18</v>
      </c>
      <c r="C73" s="3" t="s">
        <v>22</v>
      </c>
      <c r="D73" s="27" t="s">
        <v>167</v>
      </c>
      <c r="E73" s="3" t="s">
        <v>136</v>
      </c>
      <c r="F73" s="4">
        <v>7</v>
      </c>
      <c r="G73" s="2">
        <v>10</v>
      </c>
      <c r="H73" s="2"/>
      <c r="I73" s="2"/>
      <c r="N73" t="s">
        <v>133</v>
      </c>
      <c r="O73" t="s">
        <v>133</v>
      </c>
      <c r="P73" t="s">
        <v>133</v>
      </c>
      <c r="S73" t="s">
        <v>133</v>
      </c>
      <c r="U73">
        <f>INDEX(U9:U72,MATCH(Table2[[#This Row],[Alternative Module Code]],A9:A72,0))</f>
        <v>3</v>
      </c>
      <c r="V73">
        <v>0</v>
      </c>
      <c r="W73" s="42">
        <f>100-Table2[[#This Row],[Exam Weight (%)]]</f>
        <v>100</v>
      </c>
      <c r="X7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139</v>
      </c>
      <c r="B74" s="3" t="s">
        <v>89</v>
      </c>
      <c r="C74" s="3" t="s">
        <v>178</v>
      </c>
      <c r="D74" s="27" t="s">
        <v>167</v>
      </c>
      <c r="E74" s="3" t="s">
        <v>137</v>
      </c>
      <c r="F74" s="4">
        <v>7</v>
      </c>
      <c r="G74" s="2">
        <v>10</v>
      </c>
      <c r="H74" s="2"/>
      <c r="I74" s="2"/>
      <c r="N74" t="s">
        <v>133</v>
      </c>
      <c r="P74" t="s">
        <v>133</v>
      </c>
      <c r="R74" t="s">
        <v>133</v>
      </c>
      <c r="U74">
        <f>INDEX(U10:U73,MATCH(Table2[[#This Row],[Alternative Module Code]],A10:A73,0))</f>
        <v>2</v>
      </c>
      <c r="V74">
        <v>60</v>
      </c>
      <c r="W74" s="42">
        <f>100-Table2[[#This Row],[Exam Weight (%)]]</f>
        <v>40</v>
      </c>
      <c r="X7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140</v>
      </c>
      <c r="B75" s="3" t="s">
        <v>90</v>
      </c>
      <c r="C75" s="3" t="s">
        <v>99</v>
      </c>
      <c r="D75" s="27" t="s">
        <v>167</v>
      </c>
      <c r="E75" s="3" t="s">
        <v>137</v>
      </c>
      <c r="F75" s="4">
        <v>7</v>
      </c>
      <c r="G75" s="2">
        <v>10</v>
      </c>
      <c r="H75" s="2"/>
      <c r="I75" s="2"/>
      <c r="N75" t="s">
        <v>133</v>
      </c>
      <c r="O75" t="s">
        <v>133</v>
      </c>
      <c r="S75" t="s">
        <v>133</v>
      </c>
      <c r="T75" t="s">
        <v>133</v>
      </c>
      <c r="U75">
        <f>INDEX(U13:U74,MATCH(Table2[[#This Row],[Alternative Module Code]],A13:A74,0))</f>
        <v>2</v>
      </c>
      <c r="V75">
        <v>0</v>
      </c>
      <c r="W75" s="42">
        <f>100-Table2[[#This Row],[Exam Weight (%)]]</f>
        <v>100</v>
      </c>
      <c r="X7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141</v>
      </c>
      <c r="B76" s="3" t="s">
        <v>92</v>
      </c>
      <c r="C76" s="3" t="s">
        <v>91</v>
      </c>
      <c r="D76" s="27" t="s">
        <v>167</v>
      </c>
      <c r="E76" s="3" t="s">
        <v>137</v>
      </c>
      <c r="F76" s="4">
        <v>7</v>
      </c>
      <c r="G76" s="2">
        <v>10</v>
      </c>
      <c r="H76" s="2"/>
      <c r="I76" s="2"/>
      <c r="N76" t="s">
        <v>133</v>
      </c>
      <c r="P76" t="s">
        <v>133</v>
      </c>
      <c r="R76" t="s">
        <v>133</v>
      </c>
      <c r="U76">
        <f>INDEX(U14:U75,MATCH(Table2[[#This Row],[Alternative Module Code]],A14:A75,0))</f>
        <v>2</v>
      </c>
      <c r="V76">
        <v>80</v>
      </c>
      <c r="W76" s="42">
        <f>100-Table2[[#This Row],[Exam Weight (%)]]</f>
        <v>20</v>
      </c>
      <c r="X7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358</v>
      </c>
      <c r="B77" s="3" t="s">
        <v>342</v>
      </c>
      <c r="C77" s="3" t="s">
        <v>98</v>
      </c>
      <c r="D77" s="27" t="s">
        <v>167</v>
      </c>
      <c r="E77" s="3" t="s">
        <v>359</v>
      </c>
      <c r="F77" s="4">
        <v>7</v>
      </c>
      <c r="G77" s="27">
        <v>10</v>
      </c>
      <c r="H77" s="27"/>
      <c r="I77" s="27"/>
      <c r="N77" t="s">
        <v>133</v>
      </c>
      <c r="O77" t="s">
        <v>133</v>
      </c>
      <c r="P77" t="s">
        <v>133</v>
      </c>
      <c r="Q77" t="s">
        <v>133</v>
      </c>
      <c r="R77" t="s">
        <v>133</v>
      </c>
      <c r="S77" t="s">
        <v>133</v>
      </c>
      <c r="T77" t="s">
        <v>133</v>
      </c>
      <c r="U77">
        <v>2</v>
      </c>
      <c r="V77">
        <v>80</v>
      </c>
      <c r="W77" s="42">
        <f>100-Table2[[#This Row],[Exam Weight (%)]]</f>
        <v>20</v>
      </c>
      <c r="X7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122</v>
      </c>
      <c r="B78" s="3" t="s">
        <v>55</v>
      </c>
      <c r="C78" s="3" t="s">
        <v>54</v>
      </c>
      <c r="D78" s="27" t="s">
        <v>167</v>
      </c>
      <c r="E78" s="3" t="s">
        <v>136</v>
      </c>
      <c r="F78" s="4">
        <v>7</v>
      </c>
      <c r="G78" s="2">
        <v>10</v>
      </c>
      <c r="H78" s="2"/>
      <c r="I78" s="2"/>
      <c r="N78" t="s">
        <v>133</v>
      </c>
      <c r="O78" t="s">
        <v>133</v>
      </c>
      <c r="P78" t="s">
        <v>133</v>
      </c>
      <c r="R78" t="s">
        <v>133</v>
      </c>
      <c r="U78">
        <f>INDEX(U16:U76,MATCH(Table2[[#This Row],[Alternative Module Code]],A16:A76,0))</f>
        <v>2</v>
      </c>
      <c r="V78">
        <v>70</v>
      </c>
      <c r="W78" s="42">
        <f>100-Table2[[#This Row],[Exam Weight (%)]]</f>
        <v>30</v>
      </c>
      <c r="X7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236</v>
      </c>
      <c r="B79" s="3" t="s">
        <v>222</v>
      </c>
      <c r="C79" s="3" t="s">
        <v>223</v>
      </c>
      <c r="D79" s="27" t="s">
        <v>167</v>
      </c>
      <c r="E79" s="3" t="s">
        <v>136</v>
      </c>
      <c r="F79" s="4">
        <v>7</v>
      </c>
      <c r="G79" s="2">
        <v>10</v>
      </c>
      <c r="H79" s="2"/>
      <c r="I79" s="2"/>
      <c r="N79" t="s">
        <v>133</v>
      </c>
      <c r="O79" t="s">
        <v>133</v>
      </c>
      <c r="P79" t="s">
        <v>133</v>
      </c>
      <c r="S79" t="s">
        <v>133</v>
      </c>
      <c r="T79" t="s">
        <v>133</v>
      </c>
      <c r="U79">
        <f>INDEX(U17:U78,MATCH(Table2[[#This Row],[Alternative Module Code]],A17:A78,0))</f>
        <v>2</v>
      </c>
      <c r="V79">
        <v>70</v>
      </c>
      <c r="W79" s="42">
        <f>100-Table2[[#This Row],[Exam Weight (%)]]</f>
        <v>30</v>
      </c>
      <c r="X7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123</v>
      </c>
      <c r="B80" s="3" t="s">
        <v>57</v>
      </c>
      <c r="C80" s="3" t="s">
        <v>56</v>
      </c>
      <c r="D80" s="27" t="s">
        <v>167</v>
      </c>
      <c r="E80" s="3" t="s">
        <v>136</v>
      </c>
      <c r="F80" s="4">
        <v>7</v>
      </c>
      <c r="G80" s="2">
        <v>10</v>
      </c>
      <c r="H80" s="2"/>
      <c r="I80" s="2"/>
      <c r="N80" t="s">
        <v>133</v>
      </c>
      <c r="O80" t="s">
        <v>133</v>
      </c>
      <c r="S80" t="s">
        <v>132</v>
      </c>
      <c r="T80" t="s">
        <v>132</v>
      </c>
      <c r="U80">
        <f>INDEX(U18:U79,MATCH(Table2[[#This Row],[Alternative Module Code]],A18:A79,0))</f>
        <v>2</v>
      </c>
      <c r="V80">
        <v>75</v>
      </c>
      <c r="W80" s="42">
        <f>100-Table2[[#This Row],[Exam Weight (%)]]</f>
        <v>25</v>
      </c>
      <c r="X8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124</v>
      </c>
      <c r="B81" s="3" t="s">
        <v>59</v>
      </c>
      <c r="C81" s="3" t="s">
        <v>58</v>
      </c>
      <c r="D81" s="27" t="s">
        <v>167</v>
      </c>
      <c r="E81" s="3" t="s">
        <v>136</v>
      </c>
      <c r="F81" s="4">
        <v>7</v>
      </c>
      <c r="G81" s="2">
        <v>10</v>
      </c>
      <c r="H81" s="2"/>
      <c r="I81" s="2"/>
      <c r="N81" t="s">
        <v>133</v>
      </c>
      <c r="O81" t="s">
        <v>133</v>
      </c>
      <c r="Q81" t="s">
        <v>133</v>
      </c>
      <c r="S81" t="s">
        <v>133</v>
      </c>
      <c r="T81" t="s">
        <v>133</v>
      </c>
      <c r="U81">
        <f>INDEX(U20:U80,MATCH(Table2[[#This Row],[Alternative Module Code]],A20:A80,0))</f>
        <v>3</v>
      </c>
      <c r="V81">
        <v>70</v>
      </c>
      <c r="W81" s="42">
        <f>100-Table2[[#This Row],[Exam Weight (%)]]</f>
        <v>30</v>
      </c>
      <c r="X8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2" spans="1:24">
      <c r="A82" s="3" t="s">
        <v>125</v>
      </c>
      <c r="B82" s="3" t="s">
        <v>62</v>
      </c>
      <c r="C82" s="3" t="s">
        <v>61</v>
      </c>
      <c r="D82" s="27" t="s">
        <v>167</v>
      </c>
      <c r="E82" s="3" t="s">
        <v>136</v>
      </c>
      <c r="F82" s="4">
        <v>7</v>
      </c>
      <c r="G82" s="2">
        <v>10</v>
      </c>
      <c r="H82" s="2"/>
      <c r="I82" s="2"/>
      <c r="N82" t="s">
        <v>133</v>
      </c>
      <c r="O82" t="s">
        <v>133</v>
      </c>
      <c r="P82" t="s">
        <v>133</v>
      </c>
      <c r="Q82" t="s">
        <v>132</v>
      </c>
      <c r="R82" t="s">
        <v>132</v>
      </c>
      <c r="S82" t="s">
        <v>133</v>
      </c>
      <c r="T82" t="s">
        <v>133</v>
      </c>
      <c r="U82">
        <f>INDEX(U21:U81,MATCH(Table2[[#This Row],[Alternative Module Code]],A21:A81,0))</f>
        <v>2</v>
      </c>
      <c r="V82">
        <v>0</v>
      </c>
      <c r="W82" s="42">
        <f>100-Table2[[#This Row],[Exam Weight (%)]]</f>
        <v>100</v>
      </c>
      <c r="X8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126</v>
      </c>
      <c r="B83" s="3" t="s">
        <v>64</v>
      </c>
      <c r="C83" s="3" t="s">
        <v>63</v>
      </c>
      <c r="D83" s="27" t="s">
        <v>167</v>
      </c>
      <c r="E83" s="3" t="s">
        <v>136</v>
      </c>
      <c r="F83" s="4">
        <v>7</v>
      </c>
      <c r="G83" s="2">
        <v>10</v>
      </c>
      <c r="H83" s="2"/>
      <c r="I83" s="2"/>
      <c r="N83" t="s">
        <v>133</v>
      </c>
      <c r="O83" t="s">
        <v>133</v>
      </c>
      <c r="P83" t="s">
        <v>133</v>
      </c>
      <c r="S83" t="s">
        <v>133</v>
      </c>
      <c r="T83" t="s">
        <v>133</v>
      </c>
      <c r="U83">
        <f>INDEX(U22:U82,MATCH(Table2[[#This Row],[Alternative Module Code]],A22:A82,0))</f>
        <v>2</v>
      </c>
      <c r="V83">
        <v>50</v>
      </c>
      <c r="W83" s="42">
        <f>100-Table2[[#This Row],[Exam Weight (%)]]</f>
        <v>50</v>
      </c>
      <c r="X8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143</v>
      </c>
      <c r="B84" s="3" t="s">
        <v>100</v>
      </c>
      <c r="C84" s="3" t="s">
        <v>179</v>
      </c>
      <c r="D84" s="27" t="s">
        <v>167</v>
      </c>
      <c r="E84" s="3" t="s">
        <v>137</v>
      </c>
      <c r="F84" s="4">
        <v>7</v>
      </c>
      <c r="G84" s="2">
        <v>10</v>
      </c>
      <c r="H84" s="2"/>
      <c r="I84" s="2"/>
      <c r="N84" t="s">
        <v>133</v>
      </c>
      <c r="O84" t="s">
        <v>133</v>
      </c>
      <c r="Q84" t="s">
        <v>133</v>
      </c>
      <c r="S84" t="s">
        <v>133</v>
      </c>
      <c r="T84" t="s">
        <v>133</v>
      </c>
      <c r="U84">
        <f>INDEX(U23:U83,MATCH(Table2[[#This Row],[Alternative Module Code]],A23:A83,0))</f>
        <v>2</v>
      </c>
      <c r="V84">
        <v>80</v>
      </c>
      <c r="W84" s="42">
        <f>100-Table2[[#This Row],[Exam Weight (%)]]</f>
        <v>20</v>
      </c>
      <c r="X8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142</v>
      </c>
      <c r="B85" s="3" t="s">
        <v>101</v>
      </c>
      <c r="C85" s="3" t="s">
        <v>180</v>
      </c>
      <c r="D85" s="27" t="s">
        <v>167</v>
      </c>
      <c r="E85" s="3" t="s">
        <v>137</v>
      </c>
      <c r="F85" s="4">
        <v>7</v>
      </c>
      <c r="G85" s="2">
        <v>10</v>
      </c>
      <c r="H85" s="2"/>
      <c r="I85" s="2"/>
      <c r="N85" t="s">
        <v>133</v>
      </c>
      <c r="O85" t="s">
        <v>133</v>
      </c>
      <c r="P85" t="s">
        <v>133</v>
      </c>
      <c r="Q85" t="s">
        <v>133</v>
      </c>
      <c r="R85" t="s">
        <v>133</v>
      </c>
      <c r="U85">
        <f>INDEX(U24:U84,MATCH(Table2[[#This Row],[Alternative Module Code]],A24:A84,0))</f>
        <v>2</v>
      </c>
      <c r="V85">
        <v>70</v>
      </c>
      <c r="W85" s="42">
        <f>100-Table2[[#This Row],[Exam Weight (%)]]</f>
        <v>30</v>
      </c>
      <c r="X8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144</v>
      </c>
      <c r="B86" s="3" t="s">
        <v>102</v>
      </c>
      <c r="C86" s="3" t="s">
        <v>181</v>
      </c>
      <c r="D86" s="27" t="s">
        <v>167</v>
      </c>
      <c r="E86" s="3" t="s">
        <v>137</v>
      </c>
      <c r="F86" s="4">
        <v>7</v>
      </c>
      <c r="G86" s="2">
        <v>10</v>
      </c>
      <c r="H86" s="2"/>
      <c r="I86" s="2"/>
      <c r="N86" t="s">
        <v>133</v>
      </c>
      <c r="O86" t="s">
        <v>133</v>
      </c>
      <c r="P86" t="s">
        <v>133</v>
      </c>
      <c r="Q86" t="s">
        <v>133</v>
      </c>
      <c r="R86" t="s">
        <v>133</v>
      </c>
      <c r="S86" t="s">
        <v>133</v>
      </c>
      <c r="U86">
        <f>INDEX(U25:U85,MATCH(Table2[[#This Row],[Alternative Module Code]],A25:A85,0))</f>
        <v>2</v>
      </c>
      <c r="V86">
        <v>40</v>
      </c>
      <c r="W86" s="42">
        <f>100-Table2[[#This Row],[Exam Weight (%)]]</f>
        <v>60</v>
      </c>
      <c r="X8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145</v>
      </c>
      <c r="B87" s="3" t="s">
        <v>103</v>
      </c>
      <c r="C87" s="3" t="s">
        <v>182</v>
      </c>
      <c r="D87" s="27" t="s">
        <v>167</v>
      </c>
      <c r="E87" s="3" t="s">
        <v>137</v>
      </c>
      <c r="F87" s="4">
        <v>7</v>
      </c>
      <c r="G87" s="2">
        <v>10</v>
      </c>
      <c r="H87" s="2"/>
      <c r="I87" s="2"/>
      <c r="N87" t="s">
        <v>133</v>
      </c>
      <c r="P87" t="s">
        <v>133</v>
      </c>
      <c r="R87" t="s">
        <v>133</v>
      </c>
      <c r="U87">
        <f>INDEX(U26:U86,MATCH(Table2[[#This Row],[Alternative Module Code]],A26:A86,0))</f>
        <v>2</v>
      </c>
      <c r="V87">
        <v>80</v>
      </c>
      <c r="W87" s="42">
        <f>100-Table2[[#This Row],[Exam Weight (%)]]</f>
        <v>20</v>
      </c>
      <c r="X8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146</v>
      </c>
      <c r="B88" s="3" t="s">
        <v>105</v>
      </c>
      <c r="C88" s="3" t="s">
        <v>104</v>
      </c>
      <c r="D88" s="27" t="s">
        <v>167</v>
      </c>
      <c r="E88" s="3" t="s">
        <v>137</v>
      </c>
      <c r="F88" s="4">
        <v>7</v>
      </c>
      <c r="G88" s="2">
        <v>10</v>
      </c>
      <c r="H88" s="2"/>
      <c r="I88" s="2"/>
      <c r="N88" t="s">
        <v>133</v>
      </c>
      <c r="O88" t="s">
        <v>133</v>
      </c>
      <c r="P88" t="s">
        <v>133</v>
      </c>
      <c r="Q88" t="s">
        <v>133</v>
      </c>
      <c r="R88" t="s">
        <v>133</v>
      </c>
      <c r="U88">
        <f>INDEX(U27:U87,MATCH(Table2[[#This Row],[Alternative Module Code]],A27:A87,0))</f>
        <v>3</v>
      </c>
      <c r="V88">
        <v>0</v>
      </c>
      <c r="W88" s="42">
        <f>100-Table2[[#This Row],[Exam Weight (%)]]</f>
        <v>100</v>
      </c>
      <c r="X8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147</v>
      </c>
      <c r="B89" s="3" t="s">
        <v>107</v>
      </c>
      <c r="C89" s="3" t="s">
        <v>106</v>
      </c>
      <c r="D89" s="27" t="s">
        <v>167</v>
      </c>
      <c r="E89" s="3" t="s">
        <v>137</v>
      </c>
      <c r="F89" s="4">
        <v>7</v>
      </c>
      <c r="G89" s="2">
        <v>10</v>
      </c>
      <c r="H89" s="2"/>
      <c r="I89" s="2"/>
      <c r="N89" t="s">
        <v>133</v>
      </c>
      <c r="O89" t="s">
        <v>133</v>
      </c>
      <c r="P89" t="s">
        <v>133</v>
      </c>
      <c r="Q89" t="s">
        <v>133</v>
      </c>
      <c r="U89">
        <f>INDEX(U28:U88,MATCH(Table2[[#This Row],[Alternative Module Code]],A28:A88,0))</f>
        <v>2</v>
      </c>
      <c r="V89">
        <v>70</v>
      </c>
      <c r="W89" s="42">
        <f>100-Table2[[#This Row],[Exam Weight (%)]]</f>
        <v>30</v>
      </c>
      <c r="X8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149</v>
      </c>
      <c r="B90" s="3" t="s">
        <v>148</v>
      </c>
      <c r="C90" s="3" t="s">
        <v>60</v>
      </c>
      <c r="D90" s="27" t="s">
        <v>167</v>
      </c>
      <c r="E90" s="3" t="s">
        <v>137</v>
      </c>
      <c r="F90" s="4">
        <v>7</v>
      </c>
      <c r="G90" s="2">
        <v>10</v>
      </c>
      <c r="H90" s="2"/>
      <c r="I90" s="2"/>
      <c r="N90" t="s">
        <v>133</v>
      </c>
      <c r="S90" t="s">
        <v>132</v>
      </c>
      <c r="T90" t="s">
        <v>132</v>
      </c>
      <c r="U90">
        <f>INDEX(U29:U89,MATCH(Table2[[#This Row],[Alternative Module Code]],A29:A89,0))</f>
        <v>2</v>
      </c>
      <c r="V90">
        <v>50</v>
      </c>
      <c r="W90" s="42">
        <f>100-Table2[[#This Row],[Exam Weight (%)]]</f>
        <v>50</v>
      </c>
      <c r="X9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150</v>
      </c>
      <c r="B91" s="3" t="s">
        <v>108</v>
      </c>
      <c r="C91" s="3" t="s">
        <v>183</v>
      </c>
      <c r="D91" s="27" t="s">
        <v>167</v>
      </c>
      <c r="E91" s="3" t="s">
        <v>137</v>
      </c>
      <c r="F91" s="4">
        <v>7</v>
      </c>
      <c r="G91" s="2">
        <v>10</v>
      </c>
      <c r="H91" s="2"/>
      <c r="I91" s="2"/>
      <c r="N91" t="s">
        <v>133</v>
      </c>
      <c r="P91" t="s">
        <v>133</v>
      </c>
      <c r="R91" t="s">
        <v>133</v>
      </c>
      <c r="U91">
        <f>INDEX(U30:U90,MATCH(Table2[[#This Row],[Alternative Module Code]],A30:A90,0))</f>
        <v>3</v>
      </c>
      <c r="V91">
        <v>60</v>
      </c>
      <c r="W91" s="42">
        <f>100-Table2[[#This Row],[Exam Weight (%)]]</f>
        <v>40</v>
      </c>
      <c r="X9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151</v>
      </c>
      <c r="B92" s="3" t="s">
        <v>109</v>
      </c>
      <c r="C92" s="3" t="s">
        <v>184</v>
      </c>
      <c r="D92" s="27" t="s">
        <v>167</v>
      </c>
      <c r="E92" s="3" t="s">
        <v>137</v>
      </c>
      <c r="F92" s="4">
        <v>7</v>
      </c>
      <c r="G92" s="2">
        <v>10</v>
      </c>
      <c r="H92" s="2"/>
      <c r="I92" s="2"/>
      <c r="N92" t="s">
        <v>133</v>
      </c>
      <c r="O92" t="s">
        <v>133</v>
      </c>
      <c r="P92" t="s">
        <v>133</v>
      </c>
      <c r="Q92" t="s">
        <v>133</v>
      </c>
      <c r="R92" t="s">
        <v>133</v>
      </c>
      <c r="U92">
        <f>INDEX(U31:U91,MATCH(Table2[[#This Row],[Alternative Module Code]],A31:A91,0))</f>
        <v>2</v>
      </c>
      <c r="V92">
        <v>0</v>
      </c>
      <c r="W92" s="42">
        <f>100-Table2[[#This Row],[Exam Weight (%)]]</f>
        <v>100</v>
      </c>
      <c r="X9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235</v>
      </c>
      <c r="B93" s="3" t="s">
        <v>225</v>
      </c>
      <c r="C93" s="3" t="s">
        <v>224</v>
      </c>
      <c r="D93" s="27" t="s">
        <v>167</v>
      </c>
      <c r="E93" s="3" t="s">
        <v>137</v>
      </c>
      <c r="F93" s="4">
        <v>7</v>
      </c>
      <c r="G93" s="27">
        <v>10</v>
      </c>
      <c r="H93" s="27"/>
      <c r="I93" s="27"/>
      <c r="N93" t="s">
        <v>133</v>
      </c>
      <c r="O93" t="s">
        <v>133</v>
      </c>
      <c r="P93" t="s">
        <v>133</v>
      </c>
      <c r="Q93" t="s">
        <v>133</v>
      </c>
      <c r="R93" t="s">
        <v>133</v>
      </c>
      <c r="U93">
        <f>INDEX(U32:U92,MATCH(Table2[[#This Row],[Alternative Module Code]],A32:A92,0))</f>
        <v>2</v>
      </c>
      <c r="V93">
        <v>50</v>
      </c>
      <c r="W93" s="42">
        <f>100-Table2[[#This Row],[Exam Weight (%)]]</f>
        <v>50</v>
      </c>
      <c r="X9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227</v>
      </c>
      <c r="B94" s="3" t="s">
        <v>228</v>
      </c>
      <c r="C94" s="3"/>
      <c r="D94" s="27" t="s">
        <v>167</v>
      </c>
      <c r="E94" s="3" t="s">
        <v>136</v>
      </c>
      <c r="F94" s="4">
        <v>7</v>
      </c>
      <c r="G94" s="27">
        <v>10</v>
      </c>
      <c r="H94" s="27"/>
      <c r="I94" s="27"/>
      <c r="N94" t="s">
        <v>133</v>
      </c>
      <c r="S94" t="s">
        <v>133</v>
      </c>
      <c r="T94" t="s">
        <v>133</v>
      </c>
      <c r="U94">
        <v>2</v>
      </c>
      <c r="V94">
        <v>0</v>
      </c>
      <c r="W94" s="42">
        <f>100-Table2[[#This Row],[Exam Weight (%)]]</f>
        <v>100</v>
      </c>
      <c r="X9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229</v>
      </c>
      <c r="B95" s="3" t="s">
        <v>230</v>
      </c>
      <c r="C95" s="3"/>
      <c r="D95" s="27" t="s">
        <v>167</v>
      </c>
      <c r="E95" s="3" t="s">
        <v>136</v>
      </c>
      <c r="F95" s="4">
        <v>7</v>
      </c>
      <c r="G95" s="27">
        <v>10</v>
      </c>
      <c r="H95" s="27"/>
      <c r="I95" s="27"/>
      <c r="N95" t="s">
        <v>133</v>
      </c>
      <c r="O95" t="s">
        <v>133</v>
      </c>
      <c r="S95" t="s">
        <v>133</v>
      </c>
      <c r="T95" t="s">
        <v>133</v>
      </c>
      <c r="U95">
        <v>2</v>
      </c>
      <c r="V95">
        <v>0</v>
      </c>
      <c r="W95" s="42">
        <f>100-Table2[[#This Row],[Exam Weight (%)]]</f>
        <v>100</v>
      </c>
      <c r="X9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231</v>
      </c>
      <c r="B96" s="3" t="s">
        <v>232</v>
      </c>
      <c r="C96" s="3"/>
      <c r="D96" s="27" t="s">
        <v>167</v>
      </c>
      <c r="E96" s="3" t="s">
        <v>137</v>
      </c>
      <c r="F96" s="4">
        <v>7</v>
      </c>
      <c r="G96" s="27">
        <v>10</v>
      </c>
      <c r="H96" s="27"/>
      <c r="I96" s="27"/>
      <c r="N96" t="s">
        <v>133</v>
      </c>
      <c r="S96" t="s">
        <v>133</v>
      </c>
      <c r="T96" t="s">
        <v>133</v>
      </c>
      <c r="U96">
        <v>2</v>
      </c>
      <c r="V96">
        <v>0</v>
      </c>
      <c r="W96" s="42">
        <f>100-Table2[[#This Row],[Exam Weight (%)]]</f>
        <v>100</v>
      </c>
      <c r="X9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170</v>
      </c>
      <c r="B97" s="3" t="s">
        <v>173</v>
      </c>
      <c r="C97" s="3"/>
      <c r="D97" s="27" t="s">
        <v>167</v>
      </c>
      <c r="E97" s="3" t="s">
        <v>136</v>
      </c>
      <c r="F97" s="4">
        <v>7</v>
      </c>
      <c r="G97" s="2">
        <v>20</v>
      </c>
      <c r="H97" s="2"/>
      <c r="I97" s="2"/>
      <c r="N97" t="s">
        <v>132</v>
      </c>
      <c r="O97" t="s">
        <v>132</v>
      </c>
      <c r="P97" t="s">
        <v>132</v>
      </c>
      <c r="Q97" t="s">
        <v>132</v>
      </c>
      <c r="R97" t="s">
        <v>132</v>
      </c>
      <c r="S97" t="s">
        <v>132</v>
      </c>
      <c r="T97" t="s">
        <v>132</v>
      </c>
      <c r="U97">
        <v>3</v>
      </c>
      <c r="V97">
        <v>0</v>
      </c>
      <c r="W97" s="42">
        <f>100-Table2[[#This Row],[Exam Weight (%)]]</f>
        <v>100</v>
      </c>
      <c r="X9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171</v>
      </c>
      <c r="B98" s="3" t="s">
        <v>174</v>
      </c>
      <c r="C98" s="3"/>
      <c r="D98" s="27" t="s">
        <v>167</v>
      </c>
      <c r="E98" s="3" t="s">
        <v>137</v>
      </c>
      <c r="F98" s="4">
        <v>7</v>
      </c>
      <c r="G98" s="2">
        <v>20</v>
      </c>
      <c r="H98" s="2"/>
      <c r="I98" s="2"/>
      <c r="N98" t="s">
        <v>132</v>
      </c>
      <c r="O98" t="s">
        <v>132</v>
      </c>
      <c r="P98" t="s">
        <v>132</v>
      </c>
      <c r="Q98" t="s">
        <v>132</v>
      </c>
      <c r="R98" t="s">
        <v>132</v>
      </c>
      <c r="S98" t="s">
        <v>132</v>
      </c>
      <c r="T98" t="s">
        <v>132</v>
      </c>
      <c r="U98">
        <v>4</v>
      </c>
      <c r="V98">
        <v>0</v>
      </c>
      <c r="W98" s="42">
        <f>100-Table2[[#This Row],[Exam Weight (%)]]</f>
        <v>100</v>
      </c>
      <c r="X9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299</v>
      </c>
      <c r="B99" s="3" t="s">
        <v>300</v>
      </c>
      <c r="C99" s="3"/>
      <c r="D99" s="27" t="s">
        <v>167</v>
      </c>
      <c r="E99" s="3" t="s">
        <v>136</v>
      </c>
      <c r="F99" s="4">
        <v>7</v>
      </c>
      <c r="G99" s="27">
        <v>10</v>
      </c>
      <c r="H99" s="27"/>
      <c r="I99" s="27"/>
      <c r="N99" t="s">
        <v>133</v>
      </c>
      <c r="S99" t="s">
        <v>133</v>
      </c>
      <c r="T99" t="s">
        <v>133</v>
      </c>
      <c r="U99">
        <v>2</v>
      </c>
      <c r="V99">
        <v>70</v>
      </c>
      <c r="W99" s="42">
        <f>100-Table2[[#This Row],[Exam Weight (%)]]</f>
        <v>30</v>
      </c>
      <c r="X9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360</v>
      </c>
      <c r="B100" s="3" t="s">
        <v>361</v>
      </c>
      <c r="C100" s="3"/>
      <c r="D100" s="27" t="s">
        <v>167</v>
      </c>
      <c r="E100" s="3" t="s">
        <v>137</v>
      </c>
      <c r="F100" s="4">
        <v>7</v>
      </c>
      <c r="G100" s="27">
        <v>10</v>
      </c>
      <c r="H100" s="27"/>
      <c r="I100" s="27"/>
      <c r="N100" t="s">
        <v>133</v>
      </c>
      <c r="S100" t="s">
        <v>133</v>
      </c>
      <c r="T100" t="s">
        <v>133</v>
      </c>
      <c r="U100">
        <v>2</v>
      </c>
      <c r="V100">
        <v>100</v>
      </c>
      <c r="W100" s="42">
        <f>100-Table2[[#This Row],[Exam Weight (%)]]</f>
        <v>0</v>
      </c>
      <c r="X100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304</v>
      </c>
      <c r="B101" s="3" t="s">
        <v>305</v>
      </c>
      <c r="C101" s="3"/>
      <c r="D101" s="27" t="s">
        <v>167</v>
      </c>
      <c r="E101" s="3" t="s">
        <v>137</v>
      </c>
      <c r="F101" s="4">
        <v>7</v>
      </c>
      <c r="G101" s="27">
        <v>10</v>
      </c>
      <c r="H101" s="27"/>
      <c r="I101" s="27"/>
      <c r="N101" t="s">
        <v>133</v>
      </c>
      <c r="S101" t="s">
        <v>133</v>
      </c>
      <c r="T101" t="s">
        <v>133</v>
      </c>
      <c r="U101">
        <v>2</v>
      </c>
      <c r="V101">
        <v>0</v>
      </c>
      <c r="W101" s="42">
        <f>100-Table2[[#This Row],[Exam Weight (%)]]</f>
        <v>100</v>
      </c>
      <c r="X101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310</v>
      </c>
      <c r="B102" s="3" t="s">
        <v>311</v>
      </c>
      <c r="C102" s="3"/>
      <c r="D102" s="27" t="s">
        <v>167</v>
      </c>
      <c r="E102" s="3" t="s">
        <v>137</v>
      </c>
      <c r="F102" s="4">
        <v>7</v>
      </c>
      <c r="G102" s="27">
        <v>20</v>
      </c>
      <c r="H102" s="27"/>
      <c r="I102" s="27"/>
      <c r="N102" t="s">
        <v>133</v>
      </c>
      <c r="Q102" t="s">
        <v>132</v>
      </c>
      <c r="R102" t="s">
        <v>132</v>
      </c>
      <c r="U102">
        <v>4</v>
      </c>
      <c r="V102">
        <v>0</v>
      </c>
      <c r="W102" s="42">
        <f>100-Table2[[#This Row],[Exam Weight (%)]]</f>
        <v>100</v>
      </c>
      <c r="X102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314</v>
      </c>
      <c r="B103" s="3" t="s">
        <v>315</v>
      </c>
      <c r="C103" s="3"/>
      <c r="D103" s="27" t="s">
        <v>167</v>
      </c>
      <c r="E103" s="3" t="s">
        <v>136</v>
      </c>
      <c r="F103" s="4">
        <v>7</v>
      </c>
      <c r="G103" s="27">
        <v>20</v>
      </c>
      <c r="H103" s="27"/>
      <c r="I103" s="27"/>
      <c r="N103" t="s">
        <v>133</v>
      </c>
      <c r="Q103" t="s">
        <v>132</v>
      </c>
      <c r="R103" t="s">
        <v>132</v>
      </c>
      <c r="U103">
        <v>4</v>
      </c>
      <c r="V103">
        <v>50</v>
      </c>
      <c r="W103" s="42">
        <f>100-Table2[[#This Row],[Exam Weight (%)]]</f>
        <v>50</v>
      </c>
      <c r="X103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383</v>
      </c>
      <c r="B104" s="3" t="s">
        <v>398</v>
      </c>
      <c r="C104" s="3"/>
      <c r="D104" s="27"/>
      <c r="E104" s="3"/>
      <c r="F104" s="4"/>
      <c r="G104" s="27"/>
      <c r="H104" s="27"/>
      <c r="I104" s="27"/>
      <c r="W104" s="42">
        <f>100-Table2[[#This Row],[Exam Weight (%)]]</f>
        <v>100</v>
      </c>
      <c r="X104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384</v>
      </c>
      <c r="B105" s="3" t="s">
        <v>397</v>
      </c>
      <c r="C105" s="3"/>
      <c r="D105" s="27"/>
      <c r="E105" s="3"/>
      <c r="F105" s="4"/>
      <c r="G105" s="27"/>
      <c r="H105" s="27"/>
      <c r="I105" s="27"/>
      <c r="W105" s="42">
        <f>100-Table2[[#This Row],[Exam Weight (%)]]</f>
        <v>100</v>
      </c>
      <c r="X105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385</v>
      </c>
      <c r="B106" s="3" t="s">
        <v>399</v>
      </c>
      <c r="C106" s="3"/>
      <c r="D106" s="27"/>
      <c r="E106" s="3"/>
      <c r="F106" s="4"/>
      <c r="G106" s="27"/>
      <c r="H106" s="27"/>
      <c r="I106" s="27"/>
      <c r="W106" s="42">
        <f>100-Table2[[#This Row],[Exam Weight (%)]]</f>
        <v>100</v>
      </c>
      <c r="X106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389</v>
      </c>
      <c r="B107" s="3" t="s">
        <v>400</v>
      </c>
      <c r="C107" s="3"/>
      <c r="D107" s="27"/>
      <c r="E107" s="3"/>
      <c r="F107" s="4"/>
      <c r="G107" s="27"/>
      <c r="H107" s="27"/>
      <c r="I107" s="27"/>
      <c r="W107" s="42">
        <f>100-Table2[[#This Row],[Exam Weight (%)]]</f>
        <v>100</v>
      </c>
      <c r="X107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395</v>
      </c>
      <c r="B108" s="3" t="s">
        <v>386</v>
      </c>
      <c r="C108" s="3"/>
      <c r="D108" s="27"/>
      <c r="E108" s="3"/>
      <c r="F108" s="4"/>
      <c r="G108" s="27"/>
      <c r="H108" s="27"/>
      <c r="I108" s="27"/>
      <c r="W108" s="42">
        <f>100-Table2[[#This Row],[Exam Weight (%)]]</f>
        <v>100</v>
      </c>
      <c r="X108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396</v>
      </c>
      <c r="B109" s="3" t="s">
        <v>390</v>
      </c>
      <c r="C109" s="3"/>
      <c r="D109" s="27"/>
      <c r="E109" s="3"/>
      <c r="F109" s="4"/>
      <c r="G109" s="27"/>
      <c r="H109" s="27"/>
      <c r="I109" s="27"/>
      <c r="W109" s="42">
        <f>100-Table2[[#This Row],[Exam Weight (%)]]</f>
        <v>100</v>
      </c>
      <c r="X109" s="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/>
      <c r="B132"/>
      <c r="C132"/>
      <c r="D132"/>
      <c r="E132"/>
      <c r="F132"/>
      <c r="G132"/>
      <c r="H132"/>
      <c r="I132"/>
    </row>
    <row r="133" spans="1:9">
      <c r="A133" s="3"/>
      <c r="B133" s="3"/>
      <c r="C133" s="3"/>
      <c r="D133" s="3"/>
      <c r="E133" s="3"/>
      <c r="F133" s="3"/>
      <c r="G133" s="3"/>
      <c r="H133" s="3"/>
      <c r="I133" s="3"/>
    </row>
  </sheetData>
  <phoneticPr fontId="1" type="noConversion"/>
  <conditionalFormatting sqref="E2:E109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9:E104">
    <cfRule type="containsText" dxfId="9" priority="4" operator="containsText" text="SEMD">
      <formula>NOT(ISERROR(SEARCH("SEMD",E99)))</formula>
    </cfRule>
    <cfRule type="containsText" dxfId="8" priority="5" operator="containsText" text="SEM2">
      <formula>NOT(ISERROR(SEARCH("SEM2",E99)))</formula>
    </cfRule>
    <cfRule type="containsText" dxfId="7" priority="6" operator="containsText" text="SEM1">
      <formula>NOT(ISERROR(SEARCH("SEM1",E99)))</formula>
    </cfRule>
  </conditionalFormatting>
  <conditionalFormatting sqref="F2:F109">
    <cfRule type="colorScale" priority="170">
      <colorScale>
        <cfvo type="min"/>
        <cfvo type="max"/>
        <color rgb="FFFFEF9C"/>
        <color rgb="FF63BE7B"/>
      </colorScale>
    </cfRule>
  </conditionalFormatting>
  <conditionalFormatting sqref="F99:F104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2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4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U98 I99:T104">
    <cfRule type="containsText" dxfId="6" priority="16" operator="containsText" text="O">
      <formula>NOT(ISERROR(SEARCH("O",I2)))</formula>
    </cfRule>
    <cfRule type="containsText" dxfId="5" priority="17" operator="containsText" text="C">
      <formula>NOT(ISERROR(SEARCH("C",I2)))</formula>
    </cfRule>
  </conditionalFormatting>
  <conditionalFormatting sqref="U99:U104">
    <cfRule type="containsText" dxfId="2" priority="2" operator="containsText" text="O">
      <formula>NOT(ISERROR(SEARCH("O",U99)))</formula>
    </cfRule>
    <cfRule type="containsText" dxfId="1" priority="3" operator="containsText" text="C">
      <formula>NOT(ISERROR(SEARCH("C",U99)))</formula>
    </cfRule>
  </conditionalFormatting>
  <conditionalFormatting sqref="X2:X109">
    <cfRule type="expression" dxfId="0" priority="9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J2:U98 J99:T104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U99:U104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Assessments</vt:lpstr>
      <vt:lpstr>ContactTime</vt:lpstr>
      <vt:lpstr>Modules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2026-09-03T22:13:38Z</dcterms:modified>
</cp:coreProperties>
</file>