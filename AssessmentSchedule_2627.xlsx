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67" documentId="8_{F30C7968-F540-46E6-A81C-665FBDA0D3DA}" xr6:coauthVersionLast="47" xr6:coauthVersionMax="47" xr10:uidLastSave="{666049B0-0C3F-49B4-99BF-E7A63C1909BF}"/>
  <bookViews>
    <workbookView xWindow="28702" yWindow="-98" windowWidth="26115" windowHeight="15675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7" i="1" l="1"/>
  <c r="E117" i="1"/>
  <c r="D117" i="1"/>
  <c r="J117" i="1" l="1"/>
  <c r="AL117" i="1" s="1"/>
  <c r="AK75" i="1"/>
  <c r="E75" i="1"/>
  <c r="J75" i="1" s="1"/>
  <c r="AL75" i="1" s="1"/>
  <c r="D75" i="1"/>
  <c r="AK84" i="1"/>
  <c r="E84" i="1"/>
  <c r="J84" i="1" s="1"/>
  <c r="AL84" i="1" s="1"/>
  <c r="D84" i="1"/>
  <c r="E147" i="1"/>
  <c r="J147" i="1" s="1"/>
  <c r="AL147" i="1" s="1"/>
  <c r="D147" i="1"/>
  <c r="AK147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J78" i="1" s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1" i="1"/>
  <c r="AK142" i="1"/>
  <c r="AK143" i="1"/>
  <c r="AK144" i="1"/>
  <c r="AK145" i="1"/>
  <c r="AK146" i="1"/>
  <c r="AK148" i="1"/>
  <c r="AK149" i="1"/>
  <c r="AK150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W96" i="2" s="1"/>
  <c r="AK177" i="1"/>
  <c r="AK178" i="1"/>
  <c r="AK179" i="1"/>
  <c r="AK180" i="1"/>
  <c r="AK181" i="1"/>
  <c r="AK182" i="1"/>
  <c r="AK183" i="1"/>
  <c r="W100" i="2" s="1"/>
  <c r="AL78" i="1" l="1"/>
  <c r="W98" i="2"/>
  <c r="W99" i="2"/>
  <c r="W74" i="2"/>
  <c r="V39" i="2" l="1"/>
  <c r="D101" i="1" s="1"/>
  <c r="D176" i="1"/>
  <c r="D177" i="1"/>
  <c r="D178" i="1"/>
  <c r="D179" i="1"/>
  <c r="D180" i="1"/>
  <c r="D181" i="1"/>
  <c r="D182" i="1"/>
  <c r="D183" i="1"/>
  <c r="E123" i="1"/>
  <c r="J123" i="1" s="1"/>
  <c r="E124" i="1"/>
  <c r="J124" i="1" s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15" i="1"/>
  <c r="J115" i="1" s="1"/>
  <c r="E114" i="1"/>
  <c r="J114" i="1" s="1"/>
  <c r="E101" i="1"/>
  <c r="J101" i="1" s="1"/>
  <c r="E100" i="1"/>
  <c r="J100" i="1" s="1"/>
  <c r="E95" i="1"/>
  <c r="J95" i="1" s="1"/>
  <c r="V94" i="2"/>
  <c r="D169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E172" i="1"/>
  <c r="J172" i="1" s="1"/>
  <c r="E171" i="1"/>
  <c r="J171" i="1" s="1"/>
  <c r="D171" i="1"/>
  <c r="E170" i="1"/>
  <c r="J170" i="1" s="1"/>
  <c r="D170" i="1"/>
  <c r="E169" i="1"/>
  <c r="J169" i="1" s="1"/>
  <c r="E168" i="1"/>
  <c r="J168" i="1" s="1"/>
  <c r="E167" i="1"/>
  <c r="J167" i="1" s="1"/>
  <c r="D167" i="1"/>
  <c r="E166" i="1"/>
  <c r="J166" i="1" s="1"/>
  <c r="D166" i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J153" i="1" s="1"/>
  <c r="E152" i="1"/>
  <c r="J152" i="1" s="1"/>
  <c r="E151" i="1"/>
  <c r="E150" i="1"/>
  <c r="J150" i="1" s="1"/>
  <c r="E149" i="1"/>
  <c r="J149" i="1" s="1"/>
  <c r="E148" i="1"/>
  <c r="J148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22" i="1"/>
  <c r="J122" i="1" s="1"/>
  <c r="E121" i="1"/>
  <c r="J121" i="1" s="1"/>
  <c r="E120" i="1"/>
  <c r="J120" i="1" s="1"/>
  <c r="E119" i="1"/>
  <c r="J119" i="1" s="1"/>
  <c r="E118" i="1"/>
  <c r="J118" i="1" s="1"/>
  <c r="E116" i="1"/>
  <c r="J116" i="1" s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W94" i="2"/>
  <c r="L151" i="1"/>
  <c r="J151" i="1" s="1"/>
  <c r="AL155" i="1"/>
  <c r="AL157" i="1"/>
  <c r="J110" i="1" l="1"/>
  <c r="J72" i="1"/>
  <c r="AL180" i="1"/>
  <c r="AL173" i="1"/>
  <c r="AL168" i="1"/>
  <c r="AL174" i="1"/>
  <c r="AL182" i="1"/>
  <c r="AL100" i="1"/>
  <c r="AL172" i="1"/>
  <c r="AL167" i="1"/>
  <c r="AL181" i="1"/>
  <c r="AL95" i="1"/>
  <c r="AL163" i="1"/>
  <c r="AL169" i="1"/>
  <c r="AL175" i="1"/>
  <c r="AL183" i="1"/>
  <c r="AL101" i="1"/>
  <c r="AL165" i="1"/>
  <c r="AL170" i="1"/>
  <c r="AL177" i="1"/>
  <c r="AK110" i="1"/>
  <c r="AL115" i="1"/>
  <c r="AL156" i="1"/>
  <c r="AL164" i="1"/>
  <c r="AL176" i="1"/>
  <c r="AL114" i="1"/>
  <c r="AL125" i="1"/>
  <c r="AK151" i="1"/>
  <c r="AL158" i="1"/>
  <c r="AL178" i="1"/>
  <c r="AL123" i="1"/>
  <c r="AL166" i="1"/>
  <c r="AL171" i="1"/>
  <c r="AL179" i="1"/>
  <c r="AK72" i="1"/>
  <c r="D168" i="1"/>
  <c r="D100" i="1"/>
  <c r="AL97" i="1"/>
  <c r="AL89" i="1"/>
  <c r="AL83" i="1"/>
  <c r="AL74" i="1"/>
  <c r="AL70" i="1"/>
  <c r="AL149" i="1" l="1"/>
  <c r="AL150" i="1"/>
  <c r="AL146" i="1"/>
  <c r="AL138" i="1"/>
  <c r="AL136" i="1"/>
  <c r="AL42" i="1"/>
  <c r="AL143" i="1" l="1"/>
  <c r="AL58" i="1"/>
  <c r="AL9" i="1" l="1"/>
  <c r="AK116" i="1" l="1"/>
  <c r="AL118" i="1"/>
  <c r="AL21" i="1" l="1"/>
  <c r="AL2" i="1"/>
  <c r="AL162" i="1"/>
  <c r="AK7" i="1" l="1"/>
  <c r="AK6" i="1"/>
  <c r="D62" i="3"/>
  <c r="E62" i="3"/>
  <c r="F62" i="3"/>
  <c r="AE62" i="3"/>
  <c r="AL161" i="1"/>
  <c r="AL160" i="1"/>
  <c r="AL159" i="1"/>
  <c r="W11" i="2"/>
  <c r="W91" i="2"/>
  <c r="W93" i="2"/>
  <c r="AL141" i="1"/>
  <c r="V93" i="2"/>
  <c r="D162" i="1" s="1"/>
  <c r="V92" i="2"/>
  <c r="V91" i="2"/>
  <c r="T90" i="2"/>
  <c r="V90" i="2"/>
  <c r="V61" i="2"/>
  <c r="AK140" i="1" l="1"/>
  <c r="D161" i="1"/>
  <c r="D160" i="1"/>
  <c r="D159" i="1"/>
  <c r="D141" i="1"/>
  <c r="D140" i="1"/>
  <c r="D165" i="1"/>
  <c r="D164" i="1"/>
  <c r="D163" i="1"/>
  <c r="W92" i="2"/>
  <c r="AL140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1" i="1"/>
  <c r="AL127" i="1"/>
  <c r="AL128" i="1"/>
  <c r="AL132" i="1"/>
  <c r="AL134" i="1"/>
  <c r="AL135" i="1"/>
  <c r="C60" i="4" s="1"/>
  <c r="AL144" i="1"/>
  <c r="C63" i="4" s="1"/>
  <c r="AL153" i="1"/>
  <c r="AL154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1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9" i="1"/>
  <c r="AL120" i="1"/>
  <c r="C52" i="4"/>
  <c r="E52" i="4" s="1"/>
  <c r="F52" i="4" s="1"/>
  <c r="C53" i="4"/>
  <c r="E53" i="4" s="1"/>
  <c r="F53" i="4" s="1"/>
  <c r="AL122" i="1"/>
  <c r="C54" i="4" s="1"/>
  <c r="E54" i="4" s="1"/>
  <c r="F54" i="4" s="1"/>
  <c r="AL126" i="1"/>
  <c r="AL129" i="1"/>
  <c r="C56" i="4" s="1"/>
  <c r="E56" i="4" s="1"/>
  <c r="F56" i="4" s="1"/>
  <c r="AL130" i="1"/>
  <c r="C57" i="4" s="1"/>
  <c r="E57" i="4" s="1"/>
  <c r="F57" i="4" s="1"/>
  <c r="AL131" i="1"/>
  <c r="C58" i="4" s="1"/>
  <c r="E58" i="4" s="1"/>
  <c r="F58" i="4" s="1"/>
  <c r="AL133" i="1"/>
  <c r="C59" i="4" s="1"/>
  <c r="E59" i="4" s="1"/>
  <c r="F59" i="4" s="1"/>
  <c r="AL137" i="1"/>
  <c r="AL139" i="1"/>
  <c r="AL142" i="1"/>
  <c r="C62" i="4" s="1"/>
  <c r="E62" i="4" s="1"/>
  <c r="F62" i="4" s="1"/>
  <c r="AL145" i="1"/>
  <c r="C64" i="4" s="1"/>
  <c r="E64" i="4" s="1"/>
  <c r="F64" i="4" s="1"/>
  <c r="AL148" i="1"/>
  <c r="C65" i="4" s="1"/>
  <c r="E65" i="4" s="1"/>
  <c r="F65" i="4" s="1"/>
  <c r="AL152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5" i="1" l="1"/>
  <c r="D173" i="1"/>
  <c r="D174" i="1"/>
  <c r="D172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1" i="1" s="1"/>
  <c r="V49" i="2"/>
  <c r="V50" i="2"/>
  <c r="V51" i="2"/>
  <c r="V52" i="2"/>
  <c r="D130" i="1" s="1"/>
  <c r="V53" i="2"/>
  <c r="D131" i="1" s="1"/>
  <c r="V54" i="2"/>
  <c r="V55" i="2"/>
  <c r="V56" i="2"/>
  <c r="V57" i="2"/>
  <c r="V58" i="2"/>
  <c r="D144" i="1" s="1"/>
  <c r="V59" i="2"/>
  <c r="V60" i="2"/>
  <c r="V62" i="2"/>
  <c r="W9" i="2"/>
  <c r="W10" i="2"/>
  <c r="W22" i="2"/>
  <c r="W36" i="2"/>
  <c r="W38" i="2"/>
  <c r="W43" i="2"/>
  <c r="W44" i="2"/>
  <c r="D135" i="1" l="1"/>
  <c r="D136" i="1"/>
  <c r="D42" i="1"/>
  <c r="D41" i="1"/>
  <c r="D40" i="1"/>
  <c r="D39" i="1"/>
  <c r="D137" i="1"/>
  <c r="D139" i="1"/>
  <c r="D138" i="1"/>
  <c r="D132" i="1"/>
  <c r="D134" i="1"/>
  <c r="D133" i="1"/>
  <c r="D118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3" i="1"/>
  <c r="D142" i="1"/>
  <c r="D123" i="1"/>
  <c r="D122" i="1"/>
  <c r="D106" i="1"/>
  <c r="D105" i="1"/>
  <c r="D104" i="1"/>
  <c r="D82" i="1"/>
  <c r="D85" i="1"/>
  <c r="D83" i="1"/>
  <c r="D60" i="1"/>
  <c r="D59" i="1"/>
  <c r="D16" i="1"/>
  <c r="D14" i="1"/>
  <c r="D158" i="1"/>
  <c r="D157" i="1"/>
  <c r="D153" i="1"/>
  <c r="D154" i="1"/>
  <c r="D156" i="1"/>
  <c r="D152" i="1"/>
  <c r="D155" i="1"/>
  <c r="D151" i="1"/>
  <c r="D149" i="1"/>
  <c r="D148" i="1"/>
  <c r="D150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5" i="1"/>
  <c r="D146" i="1"/>
  <c r="D128" i="1"/>
  <c r="D129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7" i="1"/>
  <c r="D124" i="1"/>
  <c r="D125" i="1"/>
  <c r="D126" i="1"/>
  <c r="D87" i="1"/>
  <c r="D86" i="1"/>
  <c r="D64" i="1"/>
  <c r="D63" i="1"/>
  <c r="D61" i="1"/>
  <c r="D62" i="1"/>
  <c r="D33" i="1"/>
  <c r="D32" i="1"/>
  <c r="D35" i="1"/>
  <c r="D34" i="1"/>
  <c r="D18" i="1"/>
  <c r="D17" i="1"/>
  <c r="D120" i="1"/>
  <c r="D119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4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<sst xmlns="http://schemas.openxmlformats.org/spreadsheetml/2006/main" count="2915" uniqueCount="391">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</sst>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3" totalsRowShown="0" headerRowDxfId="112" dataDxfId="110" headerRowBorderDxfId="111" tableBorderDxfId="109" totalsRowBorderDxfId="108">
  <autoFilter ref="A1:AL183" xr:uid="{FA69A777-C149-48BD-B248-35F32F0AC920}"/>
  <sortState xmlns:xlrd2="http://schemas.microsoft.com/office/spreadsheetml/2017/richdata2" ref="A2:AI154">
    <sortCondition ref="A1:A154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3"/>
  <sheetViews>
    <sheetView tabSelected="1" zoomScale="115" zoomScaleNormal="115" workbookViewId="0">
      <pane xSplit="2" ySplit="1" topLeftCell="C151" activePane="bottomRight" state="frozen"/>
      <selection pane="topRight" activeCell="C1" sqref="C1"/>
      <selection pane="bottomLeft" activeCell="A2" sqref="A2"/>
      <selection pane="bottomRight" activeCell="G168" sqref="G168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382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380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8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387</v>
      </c>
      <c r="G32" s="11" t="s">
        <v>229</v>
      </c>
      <c r="H32" s="11" t="s">
        <v>346</v>
      </c>
      <c r="I32" s="11">
        <v>1</v>
      </c>
      <c r="J32" s="11">
        <f>IFERROR(AVERAGEIF(Table1[[#This Row],[Autumn Week 1]:[Spring Exams]],"&gt;0",Table1[[#This Row],[Autumn Week 1]:[Spring Exams]])*4*Table1[[#This Row],[Credits]],0)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386</v>
      </c>
      <c r="G33" s="11" t="s">
        <v>229</v>
      </c>
      <c r="H33" s="11" t="s">
        <v>300</v>
      </c>
      <c r="I33" s="11">
        <v>2</v>
      </c>
      <c r="J33" s="11">
        <f>IFERROR(AVERAGEIF(Table1[[#This Row],[Autumn Week 1]:[Spring Exams]],"&gt;0",Table1[[#This Row],[Autumn Week 1]:[Spring Exams]])*4*Table1[[#This Row],[Credits]],0)</f>
        <v>3.2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IFERROR(AVERAGEIF(Table1[[#This Row],[Autumn Week 1]:[Spring Exams]],"&gt;0",Table1[[#This Row],[Autumn Week 1]:[Spring Exams]])*4*Table1[[#This Row],[Credits]],0)</f>
        <v>8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388</v>
      </c>
      <c r="G35" s="11" t="s">
        <v>229</v>
      </c>
      <c r="H35" s="11" t="s">
        <v>300</v>
      </c>
      <c r="I35" s="11">
        <v>9</v>
      </c>
      <c r="J35" s="11">
        <f>IFERROR(AVERAGEIF(Table1[[#This Row],[Autumn Week 1]:[Spring Exams]],"&gt;0",Table1[[#This Row],[Autumn Week 1]:[Spring Exams]])*4*Table1[[#This Row],[Credits]],0)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IFERROR(AVERAGEIF(Table1[[#This Row],[Autumn Week 1]:[Spring Exams]],"&gt;0",Table1[[#This Row],[Autumn Week 1]:[Spring Exams]])*4*Table1[[#This Row],[Credits]],0)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IFERROR(AVERAGEIF(Table1[[#This Row],[Autumn Week 1]:[Spring Exams]],"&gt;0",Table1[[#This Row],[Autumn Week 1]:[Spring Exams]])*4*Table1[[#This Row],[Credits]],0)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IFERROR(AVERAGEIF(Table1[[#This Row],[Autumn Week 1]:[Spring Exams]],"&gt;0",Table1[[#This Row],[Autumn Week 1]:[Spring Exams]])*4*Table1[[#This Row],[Credits]],0)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IFERROR(AVERAGEIF(Table1[[#This Row],[Autumn Week 1]:[Spring Exams]],"&gt;0",Table1[[#This Row],[Autumn Week 1]:[Spring Exams]])*4*Table1[[#This Row],[Credits]],0)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IFERROR(AVERAGEIF(Table1[[#This Row],[Autumn Week 1]:[Spring Exams]],"&gt;0",Table1[[#This Row],[Autumn Week 1]:[Spring Exams]])*4*Table1[[#This Row],[Credits]],0)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IFERROR(AVERAGEIF(Table1[[#This Row],[Autumn Week 1]:[Spring Exams]],"&gt;0",Table1[[#This Row],[Autumn Week 1]:[Spring Exams]])*4*Table1[[#This Row],[Credits]],0)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IFERROR(AVERAGEIF(Table1[[#This Row],[Autumn Week 1]:[Spring Exams]],"&gt;0",Table1[[#This Row],[Autumn Week 1]:[Spring Exams]])*4*Table1[[#This Row],[Credits]],0)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IFERROR(AVERAGEIF(Table1[[#This Row],[Autumn Week 1]:[Spring Exams]],"&gt;0",Table1[[#This Row],[Autumn Week 1]:[Spring Exams]])*4*Table1[[#This Row],[Credits]],0)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IFERROR(AVERAGEIF(Table1[[#This Row],[Autumn Week 1]:[Spring Exams]],"&gt;0",Table1[[#This Row],[Autumn Week 1]:[Spring Exams]])*4*Table1[[#This Row],[Credits]],0)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IFERROR(AVERAGEIF(Table1[[#This Row],[Autumn Week 1]:[Spring Exams]],"&gt;0",Table1[[#This Row],[Autumn Week 1]:[Spring Exams]])*4*Table1[[#This Row],[Credits]],0)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IFERROR(AVERAGEIF(Table1[[#This Row],[Autumn Week 1]:[Spring Exams]],"&gt;0",Table1[[#This Row],[Autumn Week 1]:[Spring Exams]])*4*Table1[[#This Row],[Credits]],0)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IFERROR(AVERAGEIF(Table1[[#This Row],[Autumn Week 1]:[Spring Exams]],"&gt;0",Table1[[#This Row],[Autumn Week 1]:[Spring Exams]])*4*Table1[[#This Row],[Credits]],0)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IFERROR(AVERAGEIF(Table1[[#This Row],[Autumn Week 1]:[Spring Exams]],"&gt;0",Table1[[#This Row],[Autumn Week 1]:[Spring Exams]])*4*Table1[[#This Row],[Credits]],0)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IFERROR(AVERAGEIF(Table1[[#This Row],[Autumn Week 1]:[Spring Exams]],"&gt;0",Table1[[#This Row],[Autumn Week 1]:[Spring Exams]])*4*Table1[[#This Row],[Credits]],0)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IFERROR(AVERAGEIF(Table1[[#This Row],[Autumn Week 1]:[Spring Exams]],"&gt;0",Table1[[#This Row],[Autumn Week 1]:[Spring Exams]])*4*Table1[[#This Row],[Credits]],0)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4.0000000000000009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12.000000000000004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IFERROR(AVERAGEIF(Table1[[#This Row],[Autumn Week 1]:[Spring Exams]],"&gt;0",Table1[[#This Row],[Autumn Week 1]:[Spring Exams]])*4*Table1[[#This Row],[Credits]],0)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IFERROR(AVERAGEIF(Table1[[#This Row],[Autumn Week 1]:[Spring Exams]],"&gt;0",Table1[[#This Row],[Autumn Week 1]:[Spring Exams]])*4*Table1[[#This Row],[Credits]],0)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IFERROR(AVERAGEIF(Table1[[#This Row],[Autumn Week 1]:[Spring Exams]],"&gt;0",Table1[[#This Row],[Autumn Week 1]:[Spring Exams]])*4*Table1[[#This Row],[Credits]],0)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 t="s">
        <v>390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IFERROR(AVERAGEIF(Table1[[#This Row],[Autumn Week 1]:[Spring Exams]],"&gt;0",Table1[[#This Row],[Autumn Week 1]:[Spring Exams]])*4*Table1[[#This Row],[Credits]],0)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381</v>
      </c>
      <c r="G72" s="11" t="s">
        <v>229</v>
      </c>
      <c r="H72" s="11" t="s">
        <v>306</v>
      </c>
      <c r="I72" s="13">
        <v>1</v>
      </c>
      <c r="J72" s="11">
        <f>IFERROR(AVERAGEIF(Table1[[#This Row],[Autumn Week 1]:[Spring Exams]],"&gt;0",Table1[[#This Row],[Autumn Week 1]:[Spring Exams]])*4*Table1[[#This Row],[Credits]],0)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 t="s">
        <v>390</v>
      </c>
      <c r="I73" s="11">
        <v>1</v>
      </c>
      <c r="J73" s="11">
        <f>IFERROR(AVERAGEIF(Table1[[#This Row],[Autumn Week 1]:[Spring Exams]],"&gt;0",Table1[[#This Row],[Autumn Week 1]:[Spring Exams]])*4*Table1[[#This Row],[Credits]],0)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IFERROR(AVERAGEIF(Table1[[#This Row],[Autumn Week 1]:[Spring Exams]],"&gt;0",Table1[[#This Row],[Autumn Week 1]:[Spring Exams]])*4*Table1[[#This Row],[Credits]],0)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380</v>
      </c>
      <c r="G77" s="11" t="s">
        <v>229</v>
      </c>
      <c r="H77" s="11" t="s">
        <v>300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0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IFERROR(AVERAGEIF(Table1[[#This Row],[Autumn Week 1]:[Spring Exams]],"&gt;0",Table1[[#This Row],[Autumn Week 1]:[Spring Exams]])*4*Table1[[#This Row],[Credits]],0)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IFERROR(AVERAGEIF(Table1[[#This Row],[Autumn Week 1]:[Spring Exams]],"&gt;0",Table1[[#This Row],[Autumn Week 1]:[Spring Exams]])*4*Table1[[#This Row],[Credits]],0)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IFERROR(AVERAGEIF(Table1[[#This Row],[Autumn Week 1]:[Spring Exams]],"&gt;0",Table1[[#This Row],[Autumn Week 1]:[Spring Exams]])*4*Table1[[#This Row],[Credits]],0)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IFERROR(AVERAGEIF(Table1[[#This Row],[Autumn Week 1]:[Spring Exams]],"&gt;0",Table1[[#This Row],[Autumn Week 1]:[Spring Exams]])*4*Table1[[#This Row],[Credits]],0)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IFERROR(AVERAGEIF(Table1[[#This Row],[Autumn Week 1]:[Spring Exams]],"&gt;0",Table1[[#This Row],[Autumn Week 1]:[Spring Exams]])*4*Table1[[#This Row],[Credits]],0)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IFERROR(AVERAGEIF(Table1[[#This Row],[Autumn Week 1]:[Spring Exams]],"&gt;0",Table1[[#This Row],[Autumn Week 1]:[Spring Exams]])*4*Table1[[#This Row],[Credits]],0)</f>
        <v>8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IFERROR(AVERAGEIF(Table1[[#This Row],[Autumn Week 1]:[Spring Exams]],"&gt;0",Table1[[#This Row],[Autumn Week 1]:[Spring Exams]])*4*Table1[[#This Row],[Credits]],0)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IFERROR(AVERAGEIF(Table1[[#This Row],[Autumn Week 1]:[Spring Exams]],"&gt;0",Table1[[#This Row],[Autumn Week 1]:[Spring Exams]])*4*Table1[[#This Row],[Credits]],0)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IFERROR(AVERAGEIF(Table1[[#This Row],[Autumn Week 1]:[Spring Exams]],"&gt;0",Table1[[#This Row],[Autumn Week 1]:[Spring Exams]])*4*Table1[[#This Row],[Credits]],0)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390</v>
      </c>
      <c r="I96" s="11">
        <v>1</v>
      </c>
      <c r="J96" s="11">
        <f>IFERROR(AVERAGEIF(Table1[[#This Row],[Autumn Week 1]:[Spring Exams]],"&gt;0",Table1[[#This Row],[Autumn Week 1]:[Spring Exams]])*4*Table1[[#This Row],[Credits]],0)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IFERROR(AVERAGEIF(Table1[[#This Row],[Autumn Week 1]:[Spring Exams]],"&gt;0",Table1[[#This Row],[Autumn Week 1]:[Spring Exams]])*4*Table1[[#This Row],[Credits]],0)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IFERROR(AVERAGEIF(Table1[[#This Row],[Autumn Week 1]:[Spring Exams]],"&gt;0",Table1[[#This Row],[Autumn Week 1]:[Spring Exams]])*4*Table1[[#This Row],[Credits]],0)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IFERROR(AVERAGEIF(Table1[[#This Row],[Autumn Week 1]:[Spring Exams]],"&gt;0",Table1[[#This Row],[Autumn Week 1]:[Spring Exams]])*4*Table1[[#This Row],[Credits]],0)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IFERROR(AVERAGEIF(Table1[[#This Row],[Autumn Week 1]:[Spring Exams]],"&gt;0",Table1[[#This Row],[Autumn Week 1]:[Spring Exams]])*4*Table1[[#This Row],[Credits]],0)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IFERROR(AVERAGEIF(Table1[[#This Row],[Autumn Week 1]:[Spring Exams]],"&gt;0",Table1[[#This Row],[Autumn Week 1]:[Spring Exams]])*4*Table1[[#This Row],[Credits]],0)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IFERROR(AVERAGEIF(Table1[[#This Row],[Autumn Week 1]:[Spring Exams]],"&gt;0",Table1[[#This Row],[Autumn Week 1]:[Spring Exams]])*4*Table1[[#This Row],[Credits]],0)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IFERROR(AVERAGEIF(Table1[[#This Row],[Autumn Week 1]:[Spring Exams]],"&gt;0",Table1[[#This Row],[Autumn Week 1]:[Spring Exams]])*4*Table1[[#This Row],[Credits]],0)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IFERROR(AVERAGEIF(Table1[[#This Row],[Autumn Week 1]:[Spring Exams]],"&gt;0",Table1[[#This Row],[Autumn Week 1]:[Spring Exams]])*4*Table1[[#This Row],[Credits]],0)</f>
        <v>0.49999999999999994</v>
      </c>
      <c r="K116" s="11">
        <v>0.5</v>
      </c>
      <c r="L116" s="18"/>
      <c r="M116" s="18">
        <v>-1.2999999999999999E-2</v>
      </c>
      <c r="N116" s="18">
        <v>-1.2999999999999999E-2</v>
      </c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380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61</v>
      </c>
      <c r="B118" s="2" t="s">
        <v>62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306</v>
      </c>
      <c r="I118" s="11">
        <v>4</v>
      </c>
      <c r="J118" s="11">
        <f>IFERROR(AVERAGEIF(Table1[[#This Row],[Autumn Week 1]:[Spring Exams]],"&gt;0",Table1[[#This Row],[Autumn Week 1]:[Spring Exams]])*4*Table1[[#This Row],[Credits]],0)</f>
        <v>8</v>
      </c>
      <c r="K118" s="11"/>
      <c r="L118" s="18"/>
      <c r="M118" s="18"/>
      <c r="N118" s="18"/>
      <c r="O118" s="19"/>
      <c r="P118" s="18"/>
      <c r="Q118" s="18"/>
      <c r="R118" s="18"/>
      <c r="S118" s="19">
        <v>0.2</v>
      </c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</v>
      </c>
      <c r="AL118" s="27">
        <f>IF(Table1[[#This Row],[Hours]]&gt;0,Table1[[#This Row],[Hours]],Table1[[#This Row],[Nominal Hours]])*COUNTIF(Table1[[#This Row],[Autumn Week 1]:[Spring Week 12]],"&gt;0")</f>
        <v>8</v>
      </c>
    </row>
    <row r="119" spans="1:38">
      <c r="A119" s="4" t="s">
        <v>238</v>
      </c>
      <c r="B119" s="2" t="s">
        <v>237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300</v>
      </c>
      <c r="I119" s="11">
        <v>3</v>
      </c>
      <c r="J119" s="11">
        <f>IFERROR(AVERAGEIF(Table1[[#This Row],[Autumn Week 1]:[Spring Exams]],"&gt;0",Table1[[#This Row],[Autumn Week 1]:[Spring Exams]])*4*Table1[[#This Row],[Credits]],0)</f>
        <v>6</v>
      </c>
      <c r="K119" s="11"/>
      <c r="L119" s="18"/>
      <c r="M119" s="18"/>
      <c r="N119" s="18"/>
      <c r="O119" s="19"/>
      <c r="P119" s="18"/>
      <c r="Q119" s="18"/>
      <c r="R119" s="18"/>
      <c r="S119" s="19"/>
      <c r="T119" s="18">
        <v>0.15</v>
      </c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>
      <c r="A120" s="4" t="s">
        <v>238</v>
      </c>
      <c r="B120" s="2" t="s">
        <v>237</v>
      </c>
      <c r="C120" s="11" t="s">
        <v>121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370</v>
      </c>
      <c r="G120" s="11" t="s">
        <v>229</v>
      </c>
      <c r="H120" s="11" t="s">
        <v>322</v>
      </c>
      <c r="I120" s="11">
        <v>3</v>
      </c>
      <c r="J120" s="11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>
        <v>0.15</v>
      </c>
      <c r="S120" s="19"/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0.15</v>
      </c>
      <c r="AL120" s="27">
        <f>IF(Table1[[#This Row],[Hours]]&gt;0,Table1[[#This Row],[Hours]],Table1[[#This Row],[Nominal Hours]])*COUNTIF(Table1[[#This Row],[Autumn Week 1]:[Spring Week 12]],"&gt;0")</f>
        <v>6</v>
      </c>
    </row>
    <row r="121" spans="1:38" ht="28">
      <c r="A121" s="4" t="s">
        <v>63</v>
      </c>
      <c r="B121" s="2" t="s">
        <v>294</v>
      </c>
      <c r="C121" s="11" t="s">
        <v>121</v>
      </c>
      <c r="D121" s="29">
        <f>INDEX(Table2[CA weight],MATCH(Table1[[#This Row],[Module Code]],Table2[Module Code],0))</f>
        <v>25</v>
      </c>
      <c r="E121" s="29">
        <f>INDEX(Table2[Credits],MATCH(Table1[[#This Row],[Module Code]],Table2[Module Code],0))</f>
        <v>10</v>
      </c>
      <c r="F121" s="37" t="s">
        <v>385</v>
      </c>
      <c r="G121" s="11" t="s">
        <v>229</v>
      </c>
      <c r="H121" s="11" t="s">
        <v>310</v>
      </c>
      <c r="I121" s="11">
        <v>2</v>
      </c>
      <c r="J121" s="11">
        <f>IFERROR(AVERAGEIF(Table1[[#This Row],[Autumn Week 1]:[Spring Exams]],"&gt;0",Table1[[#This Row],[Autumn Week 1]:[Spring Exams]])*4*Table1[[#This Row],[Credits]],0)</f>
        <v>10</v>
      </c>
      <c r="K121" s="11">
        <v>15</v>
      </c>
      <c r="L121" s="18"/>
      <c r="M121" s="18"/>
      <c r="N121" s="18"/>
      <c r="O121" s="19"/>
      <c r="P121" s="18"/>
      <c r="Q121" s="18"/>
      <c r="R121" s="18"/>
      <c r="S121" s="19"/>
      <c r="T121" s="18">
        <v>0.25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0.25</v>
      </c>
      <c r="AL121" s="27">
        <f>IF(Table1[[#This Row],[Hours]]&gt;0,Table1[[#This Row],[Hours]],Table1[[#This Row],[Nominal Hours]])*COUNTIF(Table1[[#This Row],[Autumn Week 1]:[Spring Week 12]],"&gt;0")</f>
        <v>15</v>
      </c>
    </row>
    <row r="122" spans="1:38" ht="28">
      <c r="A122" s="4" t="s">
        <v>66</v>
      </c>
      <c r="B122" s="2" t="s">
        <v>67</v>
      </c>
      <c r="C122" s="11" t="s">
        <v>125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37" t="s">
        <v>286</v>
      </c>
      <c r="G122" s="11" t="s">
        <v>229</v>
      </c>
      <c r="H122" s="11" t="s">
        <v>300</v>
      </c>
      <c r="I122" s="11">
        <v>1</v>
      </c>
      <c r="J122" s="11">
        <f>IFERROR(AVERAGEIF(Table1[[#This Row],[Autumn Week 1]:[Spring Exams]],"&gt;0",Table1[[#This Row],[Autumn Week 1]:[Spring Exams]])*4*Table1[[#This Row],[Credits]],0)</f>
        <v>0.6</v>
      </c>
      <c r="K122" s="11">
        <v>2</v>
      </c>
      <c r="L122" s="18"/>
      <c r="M122" s="18">
        <v>1.4999999999999999E-2</v>
      </c>
      <c r="N122" s="18">
        <v>1.4999999999999999E-2</v>
      </c>
      <c r="O122" s="18">
        <v>1.4999999999999999E-2</v>
      </c>
      <c r="P122" s="18">
        <v>1.4999999999999999E-2</v>
      </c>
      <c r="Q122" s="18">
        <v>1.4999999999999999E-2</v>
      </c>
      <c r="R122" s="18">
        <v>1.4999999999999999E-2</v>
      </c>
      <c r="S122" s="18">
        <v>-1.4999999999999999E-2</v>
      </c>
      <c r="T122" s="18">
        <v>1.4999999999999999E-2</v>
      </c>
      <c r="U122" s="18"/>
      <c r="V122" s="18">
        <v>1.4999999999999999E-2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0.12</v>
      </c>
      <c r="AL122" s="27">
        <f>IF(Table1[[#This Row],[Hours]]&gt;0,Table1[[#This Row],[Hours]],Table1[[#This Row],[Nominal Hours]])*COUNTIF(Table1[[#This Row],[Autumn Week 1]:[Spring Week 12]],"&gt;0")</f>
        <v>16</v>
      </c>
    </row>
    <row r="123" spans="1:38">
      <c r="A123" s="4" t="s">
        <v>66</v>
      </c>
      <c r="B123" s="2" t="s">
        <v>67</v>
      </c>
      <c r="C123" s="11" t="s">
        <v>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11" t="s">
        <v>206</v>
      </c>
      <c r="G123" s="11" t="s">
        <v>229</v>
      </c>
      <c r="H123" s="11" t="s">
        <v>300</v>
      </c>
      <c r="I123" s="11">
        <v>6</v>
      </c>
      <c r="J123" s="11">
        <f>IFERROR(AVERAGEIF(Table1[[#This Row],[Autumn Week 1]:[Spring Exams]],"&gt;0",Table1[[#This Row],[Autumn Week 1]:[Spring Exams]])*4*Table1[[#This Row],[Credits]],0)</f>
        <v>3.5999999999999996</v>
      </c>
      <c r="K123" s="11"/>
      <c r="L123" s="18"/>
      <c r="M123" s="18"/>
      <c r="N123" s="18"/>
      <c r="O123" s="19"/>
      <c r="P123" s="18"/>
      <c r="Q123" s="19">
        <v>-0.1</v>
      </c>
      <c r="R123" s="18"/>
      <c r="S123" s="19">
        <v>0.1</v>
      </c>
      <c r="T123" s="18"/>
      <c r="U123" s="19">
        <v>0.08</v>
      </c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0.18</v>
      </c>
      <c r="AL123" s="27">
        <f>IF(Table1[[#This Row],[Hours]]&gt;0,Table1[[#This Row],[Hours]],Table1[[#This Row],[Nominal Hours]])*COUNTIF(Table1[[#This Row],[Autumn Week 1]:[Spring Week 12]],"&gt;0")</f>
        <v>7.1999999999999993</v>
      </c>
    </row>
    <row r="124" spans="1:38">
      <c r="A124" s="4" t="s">
        <v>69</v>
      </c>
      <c r="B124" s="2" t="s">
        <v>70</v>
      </c>
      <c r="C124" s="11" t="s">
        <v>125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298</v>
      </c>
      <c r="G124" s="11" t="s">
        <v>220</v>
      </c>
      <c r="H124" s="11" t="s">
        <v>300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0.49999999999999994</v>
      </c>
      <c r="K124" s="11">
        <v>0.5</v>
      </c>
      <c r="L124" s="18">
        <v>1.2500000000000001E-2</v>
      </c>
      <c r="M124" s="18">
        <v>1.2500000000000001E-2</v>
      </c>
      <c r="N124" s="18">
        <v>1.2500000000000001E-2</v>
      </c>
      <c r="O124" s="18">
        <v>1.2500000000000001E-2</v>
      </c>
      <c r="P124" s="18">
        <v>1.2500000000000001E-2</v>
      </c>
      <c r="Q124" s="18"/>
      <c r="R124" s="18">
        <v>1.2500000000000001E-2</v>
      </c>
      <c r="S124" s="18"/>
      <c r="T124" s="18">
        <v>1.2500000000000001E-2</v>
      </c>
      <c r="U124" s="18"/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8.7499999999999994E-2</v>
      </c>
      <c r="AL124" s="27">
        <f>IF(Table1[[#This Row],[Hours]]&gt;0,Table1[[#This Row],[Hours]],Table1[[#This Row],[Nominal Hours]])*COUNTIF(Table1[[#This Row],[Autumn Week 1]:[Spring Week 12]],"&gt;0")</f>
        <v>3.5</v>
      </c>
    </row>
    <row r="125" spans="1:38">
      <c r="A125" s="4" t="s">
        <v>69</v>
      </c>
      <c r="B125" s="2" t="s">
        <v>70</v>
      </c>
      <c r="C125" s="11"/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297</v>
      </c>
      <c r="G125" s="11" t="s">
        <v>229</v>
      </c>
      <c r="H125" s="11" t="s">
        <v>300</v>
      </c>
      <c r="I125" s="11">
        <v>1</v>
      </c>
      <c r="J125" s="11">
        <f>IFERROR(AVERAGEIF(Table1[[#This Row],[Autumn Week 1]:[Spring Exams]],"&gt;0",Table1[[#This Row],[Autumn Week 1]:[Spring Exams]])*4*Table1[[#This Row],[Credits]],0)</f>
        <v>4</v>
      </c>
      <c r="K125" s="11">
        <v>0.5</v>
      </c>
      <c r="L125" s="18"/>
      <c r="M125" s="18"/>
      <c r="N125" s="18"/>
      <c r="O125" s="19"/>
      <c r="P125" s="18"/>
      <c r="Q125" s="18"/>
      <c r="R125" s="18"/>
      <c r="S125" s="19"/>
      <c r="T125" s="18"/>
      <c r="U125" s="18"/>
      <c r="V125" s="18">
        <v>0.1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0.1</v>
      </c>
      <c r="AL125" s="27">
        <f>IF(Table1[[#This Row],[Hours]]&gt;0,Table1[[#This Row],[Hours]],Table1[[#This Row],[Nominal Hours]])*COUNTIF(Table1[[#This Row],[Autumn Week 1]:[Spring Week 12]],"&gt;0")</f>
        <v>0.5</v>
      </c>
    </row>
    <row r="126" spans="1:38">
      <c r="A126" s="4" t="s">
        <v>69</v>
      </c>
      <c r="B126" s="2" t="s">
        <v>70</v>
      </c>
      <c r="C126" s="11" t="s">
        <v>4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328</v>
      </c>
      <c r="G126" s="11" t="s">
        <v>229</v>
      </c>
      <c r="H126" s="11" t="s">
        <v>346</v>
      </c>
      <c r="I126" s="11">
        <v>4</v>
      </c>
      <c r="J126" s="11">
        <f>IFERROR(AVERAGEIF(Table1[[#This Row],[Autumn Week 1]:[Spring Exams]],"&gt;0",Table1[[#This Row],[Autumn Week 1]:[Spring Exams]])*4*Table1[[#This Row],[Credits]],0)</f>
        <v>14</v>
      </c>
      <c r="K126" s="11"/>
      <c r="L126" s="18"/>
      <c r="M126" s="18"/>
      <c r="N126" s="18"/>
      <c r="O126" s="19"/>
      <c r="P126" s="18"/>
      <c r="Q126" s="18">
        <v>0.35</v>
      </c>
      <c r="R126" s="18"/>
      <c r="S126" s="19"/>
      <c r="T126" s="18"/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0.35</v>
      </c>
      <c r="AL126" s="27">
        <f>IF(Table1[[#This Row],[Hours]]&gt;0,Table1[[#This Row],[Hours]],Table1[[#This Row],[Nominal Hours]])*COUNTIF(Table1[[#This Row],[Autumn Week 1]:[Spring Week 12]],"&gt;0")</f>
        <v>14</v>
      </c>
    </row>
    <row r="127" spans="1:38">
      <c r="A127" s="4" t="s">
        <v>69</v>
      </c>
      <c r="B127" s="2" t="s">
        <v>70</v>
      </c>
      <c r="C127" s="11" t="s">
        <v>123</v>
      </c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201</v>
      </c>
      <c r="G127" s="11" t="s">
        <v>229</v>
      </c>
      <c r="H127" s="11" t="s">
        <v>300</v>
      </c>
      <c r="I127" s="11">
        <v>4</v>
      </c>
      <c r="J127" s="11">
        <f>IFERROR(AVERAGEIF(Table1[[#This Row],[Autumn Week 1]:[Spring Exams]],"&gt;0",Table1[[#This Row],[Autumn Week 1]:[Spring Exams]])*4*Table1[[#This Row],[Credits]],0)</f>
        <v>22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0.55000000000000004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0.55000000000000004</v>
      </c>
      <c r="AL127" s="27">
        <f>IF(Table1[[#This Row],[Hours]]&gt;0,Table1[[#This Row],[Hours]],Table1[[#This Row],[Nominal Hours]])*COUNTIF(Table1[[#This Row],[Autumn Week 1]:[Spring Week 12]],"&gt;0")</f>
        <v>22</v>
      </c>
    </row>
    <row r="128" spans="1:38" ht="28">
      <c r="A128" s="4" t="s">
        <v>71</v>
      </c>
      <c r="B128" s="2" t="s">
        <v>72</v>
      </c>
      <c r="C128" s="11" t="s">
        <v>4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37" t="s">
        <v>362</v>
      </c>
      <c r="G128" s="11" t="s">
        <v>229</v>
      </c>
      <c r="H128" s="11" t="s">
        <v>306</v>
      </c>
      <c r="I128" s="11">
        <v>1</v>
      </c>
      <c r="J128" s="11">
        <f>IFERROR(AVERAGEIF(Table1[[#This Row],[Autumn Week 1]:[Spring Exams]],"&gt;0",Table1[[#This Row],[Autumn Week 1]:[Spring Exams]])*4*Table1[[#This Row],[Credits]],0)</f>
        <v>0.39999999999999991</v>
      </c>
      <c r="K128" s="11">
        <v>0.5</v>
      </c>
      <c r="L128" s="18"/>
      <c r="M128" s="18">
        <v>0.01</v>
      </c>
      <c r="N128" s="18">
        <v>0.01</v>
      </c>
      <c r="O128" s="19">
        <v>0.01</v>
      </c>
      <c r="P128" s="18">
        <v>0.01</v>
      </c>
      <c r="Q128" s="18">
        <v>0.01</v>
      </c>
      <c r="R128" s="18">
        <v>0.01</v>
      </c>
      <c r="S128" s="19">
        <v>0.01</v>
      </c>
      <c r="T128" s="18">
        <v>0.01</v>
      </c>
      <c r="U128" s="18">
        <v>0.01</v>
      </c>
      <c r="V128" s="18">
        <v>0.01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9.9999999999999992E-2</v>
      </c>
      <c r="AL128" s="27">
        <f>IF(Table1[[#This Row],[Hours]]&gt;0,Table1[[#This Row],[Hours]],Table1[[#This Row],[Nominal Hours]])*COUNTIF(Table1[[#This Row],[Autumn Week 1]:[Spring Week 12]],"&gt;0")</f>
        <v>5</v>
      </c>
    </row>
    <row r="129" spans="1:38">
      <c r="A129" s="4" t="s">
        <v>71</v>
      </c>
      <c r="B129" s="2" t="s">
        <v>72</v>
      </c>
      <c r="C129" s="11" t="s">
        <v>5</v>
      </c>
      <c r="D129" s="29">
        <f>INDEX(Table2[CA weight],MATCH(Table1[[#This Row],[Module Code]],Table2[Module Code],0))</f>
        <v>50</v>
      </c>
      <c r="E129" s="29">
        <f>INDEX(Table2[Credits],MATCH(Table1[[#This Row],[Module Code]],Table2[Module Code],0))</f>
        <v>10</v>
      </c>
      <c r="F129" s="11" t="s">
        <v>206</v>
      </c>
      <c r="G129" s="11" t="s">
        <v>229</v>
      </c>
      <c r="H129" s="11" t="s">
        <v>300</v>
      </c>
      <c r="I129" s="11">
        <v>2</v>
      </c>
      <c r="J129" s="11">
        <f>IFERROR(AVERAGEIF(Table1[[#This Row],[Autumn Week 1]:[Spring Exams]],"&gt;0",Table1[[#This Row],[Autumn Week 1]:[Spring Exams]])*4*Table1[[#This Row],[Credits]],0)</f>
        <v>4</v>
      </c>
      <c r="K129" s="11"/>
      <c r="L129" s="18"/>
      <c r="M129" s="18"/>
      <c r="N129" s="18">
        <v>0.1</v>
      </c>
      <c r="O129" s="19"/>
      <c r="P129" s="18">
        <v>0.1</v>
      </c>
      <c r="Q129" s="18"/>
      <c r="R129" s="18">
        <v>0.1</v>
      </c>
      <c r="S129" s="19"/>
      <c r="T129" s="18"/>
      <c r="U129" s="18">
        <v>0.1</v>
      </c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0.4</v>
      </c>
      <c r="AL129" s="27">
        <f>IF(Table1[[#This Row],[Hours]]&gt;0,Table1[[#This Row],[Hours]],Table1[[#This Row],[Nominal Hours]])*COUNTIF(Table1[[#This Row],[Autumn Week 1]:[Spring Week 12]],"&gt;0")</f>
        <v>16</v>
      </c>
    </row>
    <row r="130" spans="1:38">
      <c r="A130" s="3" t="s">
        <v>190</v>
      </c>
      <c r="B130" s="3" t="s">
        <v>110</v>
      </c>
      <c r="C130" s="12" t="s">
        <v>5</v>
      </c>
      <c r="D130" s="29">
        <f>INDEX(Table2[CA weight],MATCH(Table1[[#This Row],[Module Code]],Table2[Module Code],0))</f>
        <v>20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306</v>
      </c>
      <c r="I130" s="11">
        <v>3</v>
      </c>
      <c r="J130" s="11">
        <f>IFERROR(AVERAGEIF(Table1[[#This Row],[Autumn Week 1]:[Spring Exams]],"&gt;0",Table1[[#This Row],[Autumn Week 1]:[Spring Exams]])*4*Table1[[#This Row],[Credits]],0)</f>
        <v>8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>
        <v>0.2</v>
      </c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0.2</v>
      </c>
      <c r="AL130" s="27">
        <f>IF(Table1[[#This Row],[Hours]]&gt;0,Table1[[#This Row],[Hours]],Table1[[#This Row],[Nominal Hours]])*COUNTIF(Table1[[#This Row],[Autumn Week 1]:[Spring Week 12]],"&gt;0")</f>
        <v>8</v>
      </c>
    </row>
    <row r="131" spans="1:38">
      <c r="A131" s="3" t="s">
        <v>191</v>
      </c>
      <c r="B131" s="3" t="s">
        <v>111</v>
      </c>
      <c r="C131" s="12" t="s">
        <v>5</v>
      </c>
      <c r="D131" s="29">
        <f>INDEX(Table2[CA weight],MATCH(Table1[[#This Row],[Module Code]],Table2[Module Code],0))</f>
        <v>30</v>
      </c>
      <c r="E131" s="29">
        <f>INDEX(Table2[Credits],MATCH(Table1[[#This Row],[Module Code]],Table2[Module Code],0))</f>
        <v>10</v>
      </c>
      <c r="F131" s="12" t="s">
        <v>206</v>
      </c>
      <c r="G131" s="11" t="s">
        <v>229</v>
      </c>
      <c r="H131" s="11" t="s">
        <v>300</v>
      </c>
      <c r="I131" s="11">
        <v>4</v>
      </c>
      <c r="J131" s="11">
        <f>IFERROR(AVERAGEIF(Table1[[#This Row],[Autumn Week 1]:[Spring Exams]],"&gt;0",Table1[[#This Row],[Autumn Week 1]:[Spring Exams]])*4*Table1[[#This Row],[Credits]],0)</f>
        <v>12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0.3</v>
      </c>
      <c r="AL131" s="27">
        <f>IF(Table1[[#This Row],[Hours]]&gt;0,Table1[[#This Row],[Hours]],Table1[[#This Row],[Nominal Hours]])*COUNTIF(Table1[[#This Row],[Autumn Week 1]:[Spring Week 12]],"&gt;0")</f>
        <v>12</v>
      </c>
    </row>
    <row r="132" spans="1:38" ht="28">
      <c r="A132" s="3" t="s">
        <v>192</v>
      </c>
      <c r="B132" s="3" t="s">
        <v>112</v>
      </c>
      <c r="C132" s="11" t="s">
        <v>125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37" t="s">
        <v>287</v>
      </c>
      <c r="G132" s="11" t="s">
        <v>229</v>
      </c>
      <c r="H132" s="11" t="s">
        <v>306</v>
      </c>
      <c r="I132" s="11">
        <v>1</v>
      </c>
      <c r="J132" s="11">
        <f>IFERROR(AVERAGEIF(Table1[[#This Row],[Autumn Week 1]:[Spring Exams]],"&gt;0",Table1[[#This Row],[Autumn Week 1]:[Spring Exams]])*4*Table1[[#This Row],[Credits]],0)</f>
        <v>0.79999999999999982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>
        <v>0.02</v>
      </c>
      <c r="AE132" s="20">
        <v>0.02</v>
      </c>
      <c r="AF132" s="20">
        <v>0.02</v>
      </c>
      <c r="AG132" s="20">
        <v>0.02</v>
      </c>
      <c r="AH132" s="20">
        <v>0.02</v>
      </c>
      <c r="AI132" s="20"/>
      <c r="AJ132" s="20"/>
      <c r="AK132" s="27">
        <f>SUMIF(Table1[[#This Row],[Autumn Week 1]:[Spring Week 12]],"&gt;0",Table1[[#This Row],[Autumn Week 1]:[Spring Week 12]])</f>
        <v>0.19999999999999998</v>
      </c>
      <c r="AL132" s="27">
        <f>IF(Table1[[#This Row],[Hours]]&gt;0,Table1[[#This Row],[Hours]],Table1[[#This Row],[Nominal Hours]])*COUNTIF(Table1[[#This Row],[Autumn Week 1]:[Spring Week 12]],"&gt;0")</f>
        <v>5</v>
      </c>
    </row>
    <row r="133" spans="1:38">
      <c r="A133" s="3" t="s">
        <v>192</v>
      </c>
      <c r="B133" s="3" t="s">
        <v>112</v>
      </c>
      <c r="C133" s="12" t="s">
        <v>5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300</v>
      </c>
      <c r="I133" s="11">
        <v>3</v>
      </c>
      <c r="J133" s="11">
        <f>IFERROR(AVERAGEIF(Table1[[#This Row],[Autumn Week 1]:[Spring Exams]],"&gt;0",Table1[[#This Row],[Autumn Week 1]:[Spring Exams]])*4*Table1[[#This Row],[Credits]],0)</f>
        <v>4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0.1</v>
      </c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0.1</v>
      </c>
      <c r="AL133" s="27">
        <f>IF(Table1[[#This Row],[Hours]]&gt;0,Table1[[#This Row],[Hours]],Table1[[#This Row],[Nominal Hours]])*COUNTIF(Table1[[#This Row],[Autumn Week 1]:[Spring Week 12]],"&gt;0")</f>
        <v>4</v>
      </c>
    </row>
    <row r="134" spans="1:38">
      <c r="A134" s="3" t="s">
        <v>192</v>
      </c>
      <c r="B134" s="3" t="s">
        <v>112</v>
      </c>
      <c r="C134" s="12" t="s">
        <v>121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12" t="s">
        <v>337</v>
      </c>
      <c r="G134" s="11" t="s">
        <v>229</v>
      </c>
      <c r="H134" s="11" t="s">
        <v>310</v>
      </c>
      <c r="I134" s="11">
        <v>2</v>
      </c>
      <c r="J134" s="11">
        <f>IFERROR(AVERAGEIF(Table1[[#This Row],[Autumn Week 1]:[Spring Exams]],"&gt;0",Table1[[#This Row],[Autumn Week 1]:[Spring Exams]])*4*Table1[[#This Row],[Credits]],0)</f>
        <v>12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>
        <v>0.3</v>
      </c>
      <c r="AI134" s="20"/>
      <c r="AJ134" s="20"/>
      <c r="AK134" s="27">
        <f>SUMIF(Table1[[#This Row],[Autumn Week 1]:[Spring Week 12]],"&gt;0",Table1[[#This Row],[Autumn Week 1]:[Spring Week 12]])</f>
        <v>0.3</v>
      </c>
      <c r="AL134" s="27">
        <f>IF(Table1[[#This Row],[Hours]]&gt;0,Table1[[#This Row],[Hours]],Table1[[#This Row],[Nominal Hours]])*COUNTIF(Table1[[#This Row],[Autumn Week 1]:[Spring Week 12]],"&gt;0")</f>
        <v>12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288</v>
      </c>
      <c r="G135" s="11" t="s">
        <v>229</v>
      </c>
      <c r="H135" s="11" t="s">
        <v>354</v>
      </c>
      <c r="I135" s="11">
        <v>1</v>
      </c>
      <c r="J135" s="11">
        <f>IFERROR(AVERAGEIF(Table1[[#This Row],[Autumn Week 1]:[Spring Exams]],"&gt;0",Table1[[#This Row],[Autumn Week 1]:[Spring Exams]])*4*Table1[[#This Row],[Credits]],0)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>
        <v>0.02</v>
      </c>
      <c r="Z135" s="20">
        <v>0.02</v>
      </c>
      <c r="AA135" s="20">
        <v>0.02</v>
      </c>
      <c r="AB135" s="20">
        <v>0.02</v>
      </c>
      <c r="AC135" s="20">
        <v>0.02</v>
      </c>
      <c r="AD135" s="20"/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 ht="28">
      <c r="A136" s="3" t="s">
        <v>193</v>
      </c>
      <c r="B136" s="3" t="s">
        <v>113</v>
      </c>
      <c r="C136" s="11" t="s">
        <v>125</v>
      </c>
      <c r="D136" s="29">
        <f>INDEX(Table2[CA weight],MATCH(Table1[[#This Row],[Module Code]],Table2[Module Code],0))</f>
        <v>20</v>
      </c>
      <c r="E136" s="29">
        <f>INDEX(Table2[Credits],MATCH(Table1[[#This Row],[Module Code]],Table2[Module Code],0))</f>
        <v>10</v>
      </c>
      <c r="F136" s="37" t="s">
        <v>289</v>
      </c>
      <c r="G136" s="11" t="s">
        <v>229</v>
      </c>
      <c r="H136" s="11" t="s">
        <v>354</v>
      </c>
      <c r="I136" s="11">
        <v>1</v>
      </c>
      <c r="J136" s="11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0.02</v>
      </c>
      <c r="AE136" s="20">
        <v>0.02</v>
      </c>
      <c r="AF136" s="20">
        <v>0.02</v>
      </c>
      <c r="AG136" s="20">
        <v>0.02</v>
      </c>
      <c r="AH136" s="20">
        <v>0.02</v>
      </c>
      <c r="AI136" s="20"/>
      <c r="AJ136" s="20"/>
      <c r="AK136" s="27">
        <f>SUMIF(Table1[[#This Row],[Autumn Week 1]:[Spring Week 12]],"&gt;0",Table1[[#This Row],[Autumn Week 1]:[Spring Week 12]])</f>
        <v>0.1</v>
      </c>
      <c r="AL136" s="27">
        <f>IF(Table1[[#This Row],[Hours]]&gt;0,Table1[[#This Row],[Hours]],Table1[[#This Row],[Nominal Hours]])*COUNTIF(Table1[[#This Row],[Autumn Week 1]:[Spring Week 12]],"&gt;0")</f>
        <v>2.5</v>
      </c>
    </row>
    <row r="137" spans="1:38">
      <c r="A137" s="3" t="s">
        <v>114</v>
      </c>
      <c r="B137" s="3" t="s">
        <v>115</v>
      </c>
      <c r="C137" s="12" t="s">
        <v>5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268</v>
      </c>
      <c r="G137" s="11" t="s">
        <v>229</v>
      </c>
      <c r="H137" s="11" t="s">
        <v>300</v>
      </c>
      <c r="I137" s="11">
        <v>3</v>
      </c>
      <c r="J137" s="11">
        <f>IFERROR(AVERAGEIF(Table1[[#This Row],[Autumn Week 1]:[Spring Exams]],"&gt;0",Table1[[#This Row],[Autumn Week 1]:[Spring Exams]])*4*Table1[[#This Row],[Credits]],0)</f>
        <v>16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0.4</v>
      </c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0.4</v>
      </c>
      <c r="AL137" s="27">
        <f>IF(Table1[[#This Row],[Hours]]&gt;0,Table1[[#This Row],[Hours]],Table1[[#This Row],[Nominal Hours]])*COUNTIF(Table1[[#This Row],[Autumn Week 1]:[Spring Week 12]],"&gt;0")</f>
        <v>16</v>
      </c>
    </row>
    <row r="138" spans="1:38">
      <c r="A138" s="3" t="s">
        <v>114</v>
      </c>
      <c r="B138" s="3" t="s">
        <v>115</v>
      </c>
      <c r="C138" s="12" t="s">
        <v>123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201</v>
      </c>
      <c r="G138" s="11" t="s">
        <v>229</v>
      </c>
      <c r="H138" s="11" t="s">
        <v>300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22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>
        <v>0.55000000000000004</v>
      </c>
      <c r="AH138" s="20"/>
      <c r="AI138" s="20"/>
      <c r="AJ138" s="20"/>
      <c r="AK138" s="27">
        <f>SUMIF(Table1[[#This Row],[Autumn Week 1]:[Spring Week 12]],"&gt;0",Table1[[#This Row],[Autumn Week 1]:[Spring Week 12]])</f>
        <v>0.55000000000000004</v>
      </c>
      <c r="AL138" s="27">
        <f>IF(Table1[[#This Row],[Hours]]&gt;0,Table1[[#This Row],[Hours]],Table1[[#This Row],[Nominal Hours]])*COUNTIF(Table1[[#This Row],[Autumn Week 1]:[Spring Week 12]],"&gt;0")</f>
        <v>22</v>
      </c>
    </row>
    <row r="139" spans="1:38">
      <c r="A139" s="3" t="s">
        <v>114</v>
      </c>
      <c r="B139" s="3" t="s">
        <v>115</v>
      </c>
      <c r="C139" s="12" t="s">
        <v>122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259</v>
      </c>
      <c r="G139" s="11" t="s">
        <v>229</v>
      </c>
      <c r="H139" s="11" t="s">
        <v>300</v>
      </c>
      <c r="I139" s="11">
        <v>1</v>
      </c>
      <c r="J139" s="11">
        <f>IFERROR(AVERAGEIF(Table1[[#This Row],[Autumn Week 1]:[Spring Exams]],"&gt;0",Table1[[#This Row],[Autumn Week 1]:[Spring Exams]])*4*Table1[[#This Row],[Credits]],0)</f>
        <v>2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>
        <v>0.05</v>
      </c>
      <c r="AI139" s="20"/>
      <c r="AJ139" s="20"/>
      <c r="AK139" s="27">
        <f>SUMIF(Table1[[#This Row],[Autumn Week 1]:[Spring Week 12]],"&gt;0",Table1[[#This Row],[Autumn Week 1]:[Spring Week 12]])</f>
        <v>0.05</v>
      </c>
      <c r="AL139" s="27">
        <f>IF(Table1[[#This Row],[Hours]]&gt;0,Table1[[#This Row],[Hours]],Table1[[#This Row],[Nominal Hours]])*COUNTIF(Table1[[#This Row],[Autumn Week 1]:[Spring Week 12]],"&gt;0")</f>
        <v>0.5</v>
      </c>
    </row>
    <row r="140" spans="1:38" ht="28">
      <c r="A140" s="3" t="s">
        <v>239</v>
      </c>
      <c r="B140" s="28" t="s">
        <v>240</v>
      </c>
      <c r="C140" s="12" t="s">
        <v>4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45" t="s">
        <v>287</v>
      </c>
      <c r="G140" s="11" t="s">
        <v>229</v>
      </c>
      <c r="H140" s="11" t="s">
        <v>306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0.39999999999999991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>
        <v>-0.01</v>
      </c>
      <c r="Y140" s="20">
        <v>0.01</v>
      </c>
      <c r="Z140" s="20">
        <v>0.01</v>
      </c>
      <c r="AA140" s="20">
        <v>0.01</v>
      </c>
      <c r="AB140" s="20">
        <v>0.01</v>
      </c>
      <c r="AC140" s="20">
        <v>0.01</v>
      </c>
      <c r="AD140" s="20">
        <v>0.01</v>
      </c>
      <c r="AE140" s="20">
        <v>0.01</v>
      </c>
      <c r="AF140" s="20">
        <v>0.01</v>
      </c>
      <c r="AG140" s="20">
        <v>0.01</v>
      </c>
      <c r="AH140" s="20">
        <v>0.01</v>
      </c>
      <c r="AI140" s="20"/>
      <c r="AJ140" s="20"/>
      <c r="AK140" s="27">
        <f>SUMIF(Table1[[#This Row],[Autumn Week 1]:[Spring Week 12]],"&gt;0",Table1[[#This Row],[Autumn Week 1]:[Spring Week 12]])</f>
        <v>9.9999999999999992E-2</v>
      </c>
      <c r="AL140" s="27">
        <f>IF(Table1[[#This Row],[Hours]]&gt;0,Table1[[#This Row],[Hours]],Table1[[#This Row],[Nominal Hours]])*COUNTIF(Table1[[#This Row],[Autumn Week 1]:[Spring Week 12]],"&gt;0")</f>
        <v>5</v>
      </c>
    </row>
    <row r="141" spans="1:38">
      <c r="A141" s="3" t="s">
        <v>239</v>
      </c>
      <c r="B141" s="28" t="s">
        <v>240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206</v>
      </c>
      <c r="G141" s="11" t="s">
        <v>229</v>
      </c>
      <c r="H141" s="11" t="s">
        <v>346</v>
      </c>
      <c r="I141" s="11">
        <v>4</v>
      </c>
      <c r="J141" s="11">
        <f>IFERROR(AVERAGEIF(Table1[[#This Row],[Autumn Week 1]:[Spring Exams]],"&gt;0",Table1[[#This Row],[Autumn Week 1]:[Spring Exams]])*4*Table1[[#This Row],[Credits]],0)</f>
        <v>8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>
        <v>0.2</v>
      </c>
      <c r="AD141" s="20">
        <v>-0.2</v>
      </c>
      <c r="AE141" s="20"/>
      <c r="AF141" s="20"/>
      <c r="AG141" s="20"/>
      <c r="AH141" s="20">
        <v>0.2</v>
      </c>
      <c r="AI141" s="20"/>
      <c r="AJ141" s="20"/>
      <c r="AK141" s="27">
        <f>SUMIF(Table1[[#This Row],[Autumn Week 1]:[Spring Week 12]],"&gt;0",Table1[[#This Row],[Autumn Week 1]:[Spring Week 12]])</f>
        <v>0.4</v>
      </c>
      <c r="AL141" s="27">
        <f>IF(Table1[[#This Row],[Hours]]&gt;0,Table1[[#This Row],[Hours]],Table1[[#This Row],[Nominal Hours]])*COUNTIF(Table1[[#This Row],[Autumn Week 1]:[Spring Week 12]],"&gt;0")</f>
        <v>16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290</v>
      </c>
      <c r="G142" s="11" t="s">
        <v>229</v>
      </c>
      <c r="H142" s="11" t="s">
        <v>300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>
        <v>0.03</v>
      </c>
      <c r="Z142" s="20">
        <v>0.03</v>
      </c>
      <c r="AA142" s="20">
        <v>0.03</v>
      </c>
      <c r="AB142" s="20">
        <v>0.03</v>
      </c>
      <c r="AC142" s="20">
        <v>0.03</v>
      </c>
      <c r="AD142" s="20"/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 ht="28">
      <c r="A143" s="3" t="s">
        <v>116</v>
      </c>
      <c r="B143" s="3" t="s">
        <v>117</v>
      </c>
      <c r="C143" s="11" t="s">
        <v>125</v>
      </c>
      <c r="D143" s="29">
        <f>INDEX(Table2[CA weight],MATCH(Table1[[#This Row],[Module Code]],Table2[Module Code],0))</f>
        <v>30</v>
      </c>
      <c r="E143" s="29">
        <f>INDEX(Table2[Credits],MATCH(Table1[[#This Row],[Module Code]],Table2[Module Code],0))</f>
        <v>10</v>
      </c>
      <c r="F143" s="37" t="s">
        <v>291</v>
      </c>
      <c r="G143" s="11" t="s">
        <v>229</v>
      </c>
      <c r="H143" s="11" t="s">
        <v>300</v>
      </c>
      <c r="I143" s="11">
        <v>1</v>
      </c>
      <c r="J143" s="11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>
        <v>0.03</v>
      </c>
      <c r="AE143" s="20">
        <v>0.03</v>
      </c>
      <c r="AF143" s="20">
        <v>0.03</v>
      </c>
      <c r="AG143" s="20">
        <v>0.03</v>
      </c>
      <c r="AH143" s="20">
        <v>0.03</v>
      </c>
      <c r="AI143" s="20"/>
      <c r="AJ143" s="20"/>
      <c r="AK143" s="27">
        <f>SUMIF(Table1[[#This Row],[Autumn Week 1]:[Spring Week 12]],"&gt;0",Table1[[#This Row],[Autumn Week 1]:[Spring Week 12]])</f>
        <v>0.15</v>
      </c>
      <c r="AL143" s="27">
        <f>IF(Table1[[#This Row],[Hours]]&gt;0,Table1[[#This Row],[Hours]],Table1[[#This Row],[Nominal Hours]])*COUNTIF(Table1[[#This Row],[Autumn Week 1]:[Spring Week 12]],"&gt;0")</f>
        <v>6</v>
      </c>
    </row>
    <row r="144" spans="1:38">
      <c r="A144" s="3" t="s">
        <v>68</v>
      </c>
      <c r="B144" s="3" t="s">
        <v>159</v>
      </c>
      <c r="C144" s="12" t="s">
        <v>5</v>
      </c>
      <c r="D144" s="29">
        <f>INDEX(Table2[CA weight],MATCH(Table1[[#This Row],[Module Code]],Table2[Module Code],0))</f>
        <v>50</v>
      </c>
      <c r="E144" s="29">
        <f>INDEX(Table2[Credits],MATCH(Table1[[#This Row],[Module Code]],Table2[Module Code],0))</f>
        <v>10</v>
      </c>
      <c r="F144" s="12" t="s">
        <v>384</v>
      </c>
      <c r="G144" s="11" t="s">
        <v>229</v>
      </c>
      <c r="H144" s="11" t="s">
        <v>300</v>
      </c>
      <c r="I144" s="11">
        <v>3</v>
      </c>
      <c r="J144" s="11">
        <f>IFERROR(AVERAGEIF(Table1[[#This Row],[Autumn Week 1]:[Spring Exams]],"&gt;0",Table1[[#This Row],[Autumn Week 1]:[Spring Exams]])*4*Table1[[#This Row],[Credits]],0)</f>
        <v>20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>
        <v>0.5</v>
      </c>
      <c r="AJ144" s="20"/>
      <c r="AK144" s="27">
        <f>SUMIF(Table1[[#This Row],[Autumn Week 1]:[Spring Week 12]],"&gt;0",Table1[[#This Row],[Autumn Week 1]:[Spring Week 12]])</f>
        <v>0.5</v>
      </c>
      <c r="AL144" s="27">
        <f>IF(Table1[[#This Row],[Hours]]&gt;0,Table1[[#This Row],[Hours]],Table1[[#This Row],[Nominal Hours]])*COUNTIF(Table1[[#This Row],[Autumn Week 1]:[Spring Week 12]],"&gt;0")</f>
        <v>20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277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4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>
        <v>0.1</v>
      </c>
      <c r="AB145" s="20"/>
      <c r="AC145" s="20"/>
      <c r="AD145" s="20"/>
      <c r="AE145" s="20"/>
      <c r="AF145" s="20"/>
      <c r="AG145" s="20"/>
      <c r="AH145" s="20">
        <v>0.1</v>
      </c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8</v>
      </c>
    </row>
    <row r="146" spans="1:38">
      <c r="A146" s="3" t="s">
        <v>194</v>
      </c>
      <c r="B146" s="3" t="s">
        <v>118</v>
      </c>
      <c r="C146" s="12" t="s">
        <v>5</v>
      </c>
      <c r="D146" s="29">
        <f>INDEX(Table2[CA weight],MATCH(Table1[[#This Row],[Module Code]],Table2[Module Code],0))</f>
        <v>40</v>
      </c>
      <c r="E146" s="29">
        <f>INDEX(Table2[Credits],MATCH(Table1[[#This Row],[Module Code]],Table2[Module Code],0))</f>
        <v>10</v>
      </c>
      <c r="F146" s="12" t="s">
        <v>269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8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>
        <v>0.2</v>
      </c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0.2</v>
      </c>
      <c r="AL146" s="2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345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12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0.3</v>
      </c>
      <c r="AB147" s="20"/>
      <c r="AC147" s="20"/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0.3</v>
      </c>
      <c r="AL147" s="27">
        <f>IF(Table1[[#This Row],[Hours]]&gt;0,Table1[[#This Row],[Hours]],Table1[[#This Row],[Nominal Hours]])*COUNTIF(Table1[[#This Row],[Autumn Week 1]:[Spring Week 12]],"&gt;0")</f>
        <v>12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383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>
        <v>0.2</v>
      </c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272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>
        <v>0.3</v>
      </c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273</v>
      </c>
      <c r="G150" s="11" t="s">
        <v>229</v>
      </c>
      <c r="H150" s="11" t="s">
        <v>300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>
        <v>0.2</v>
      </c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74</v>
      </c>
      <c r="B151" s="28" t="s">
        <v>23</v>
      </c>
      <c r="C151" s="11" t="s">
        <v>123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231</v>
      </c>
      <c r="G151" s="11" t="s">
        <v>339</v>
      </c>
      <c r="H151" s="11" t="s">
        <v>361</v>
      </c>
      <c r="I151" s="11">
        <v>1</v>
      </c>
      <c r="J151" s="11">
        <f>IFERROR(AVERAGEIF(Table1[[#This Row],[Autumn Week 1]:[Spring Exams]],"&gt;0",Table1[[#This Row],[Autumn Week 1]:[Spring Exams]])*4*Table1[[#This Row],[Credits]],0)</f>
        <v>9.9999999999999964</v>
      </c>
      <c r="K151" s="11">
        <v>20</v>
      </c>
      <c r="L151" s="18">
        <f>1/24</f>
        <v>4.1666666666666664E-2</v>
      </c>
      <c r="M151" s="18">
        <v>4.1666666666666664E-2</v>
      </c>
      <c r="N151" s="18">
        <v>4.1666666666666664E-2</v>
      </c>
      <c r="O151" s="19">
        <v>4.1666666666666664E-2</v>
      </c>
      <c r="P151" s="18">
        <v>4.1666666666666664E-2</v>
      </c>
      <c r="Q151" s="18">
        <v>4.1666666666666664E-2</v>
      </c>
      <c r="R151" s="18">
        <v>4.1666666666666664E-2</v>
      </c>
      <c r="S151" s="19">
        <v>4.1666666666666664E-2</v>
      </c>
      <c r="T151" s="18">
        <v>4.1666666666666664E-2</v>
      </c>
      <c r="U151" s="18">
        <v>4.1666666666666664E-2</v>
      </c>
      <c r="V151" s="18">
        <v>4.1666666666666664E-2</v>
      </c>
      <c r="W151" s="19">
        <v>4.1666666666666664E-2</v>
      </c>
      <c r="X151" s="20">
        <v>4.1666666666666664E-2</v>
      </c>
      <c r="Y151" s="20">
        <v>4.1666666666666664E-2</v>
      </c>
      <c r="Z151" s="20">
        <v>4.1666666666666664E-2</v>
      </c>
      <c r="AA151" s="20">
        <v>4.1666666666666664E-2</v>
      </c>
      <c r="AB151" s="20">
        <v>4.1666666666666664E-2</v>
      </c>
      <c r="AC151" s="20">
        <v>4.1666666666666664E-2</v>
      </c>
      <c r="AD151" s="20">
        <v>4.1666666666666664E-2</v>
      </c>
      <c r="AE151" s="20">
        <v>4.1666666666666664E-2</v>
      </c>
      <c r="AF151" s="20">
        <v>4.1666666666666664E-2</v>
      </c>
      <c r="AG151" s="20">
        <v>4.1666666666666664E-2</v>
      </c>
      <c r="AH151" s="20">
        <v>4.1666666666666664E-2</v>
      </c>
      <c r="AI151" s="20">
        <v>4.1666666666666664E-2</v>
      </c>
      <c r="AJ151" s="20"/>
      <c r="AK151" s="27">
        <f>SUMIF(Table1[[#This Row],[Autumn Week 1]:[Spring Week 12]],"&gt;0",Table1[[#This Row],[Autumn Week 1]:[Spring Week 12]])</f>
        <v>0.99999999999999956</v>
      </c>
      <c r="AL151" s="27">
        <f>IF(Table1[[#This Row],[Hours]]&gt;0,Table1[[#This Row],[Hours]],Table1[[#This Row],[Nominal Hours]])*COUNTIF(Table1[[#This Row],[Autumn Week 1]:[Spring Week 12]],"&gt;0")</f>
        <v>480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333</v>
      </c>
      <c r="G152" s="11" t="s">
        <v>220</v>
      </c>
      <c r="H152" s="11" t="s">
        <v>300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10</v>
      </c>
      <c r="K152" s="11">
        <v>0.1</v>
      </c>
      <c r="L152" s="18"/>
      <c r="M152" s="18"/>
      <c r="N152" s="18"/>
      <c r="O152" s="19"/>
      <c r="P152" s="18"/>
      <c r="Q152" s="18">
        <v>2.5000000000000001E-2</v>
      </c>
      <c r="R152" s="18"/>
      <c r="S152" s="19"/>
      <c r="T152" s="18"/>
      <c r="U152" s="18"/>
      <c r="V152" s="18">
        <v>2.5000000000000001E-2</v>
      </c>
      <c r="W152" s="19"/>
      <c r="X152" s="20"/>
      <c r="Y152" s="20"/>
      <c r="Z152" s="20"/>
      <c r="AA152" s="20"/>
      <c r="AB152" s="20"/>
      <c r="AC152" s="20">
        <v>7.4999999999999997E-2</v>
      </c>
      <c r="AD152" s="20"/>
      <c r="AE152" s="20"/>
      <c r="AF152" s="20"/>
      <c r="AG152" s="20"/>
      <c r="AH152" s="20"/>
      <c r="AI152" s="20"/>
      <c r="AJ152" s="20"/>
      <c r="AK152" s="27">
        <f>SUMIF(Table1[[#This Row],[Autumn Week 1]:[Spring Week 12]],"&gt;0",Table1[[#This Row],[Autumn Week 1]:[Spring Week 12]])</f>
        <v>0.125</v>
      </c>
      <c r="AL152" s="27">
        <f>IF(Table1[[#This Row],[Hours]]&gt;0,Table1[[#This Row],[Hours]],Table1[[#This Row],[Nominal Hours]])*COUNTIF(Table1[[#This Row],[Autumn Week 1]:[Spring Week 12]],"&gt;0")</f>
        <v>0.30000000000000004</v>
      </c>
    </row>
    <row r="153" spans="1:38">
      <c r="A153" s="4" t="s">
        <v>74</v>
      </c>
      <c r="B153" s="2" t="s">
        <v>23</v>
      </c>
      <c r="C153" s="11" t="s">
        <v>122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334</v>
      </c>
      <c r="G153" s="11" t="s">
        <v>229</v>
      </c>
      <c r="H153" s="11" t="s">
        <v>346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60</v>
      </c>
      <c r="K153" s="11">
        <v>0.1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>
        <v>0.25</v>
      </c>
      <c r="AJ153" s="20"/>
      <c r="AK153" s="27">
        <f>SUMIF(Table1[[#This Row],[Autumn Week 1]:[Spring Week 12]],"&gt;0",Table1[[#This Row],[Autumn Week 1]:[Spring Week 12]])</f>
        <v>0.25</v>
      </c>
      <c r="AL153" s="27">
        <f>IF(Table1[[#This Row],[Hours]]&gt;0,Table1[[#This Row],[Hours]],Table1[[#This Row],[Nominal Hours]])*COUNTIF(Table1[[#This Row],[Autumn Week 1]:[Spring Week 12]],"&gt;0")</f>
        <v>0.1</v>
      </c>
    </row>
    <row r="154" spans="1:38">
      <c r="A154" s="4" t="s">
        <v>74</v>
      </c>
      <c r="B154" s="2" t="s">
        <v>23</v>
      </c>
      <c r="C154" s="11" t="s">
        <v>124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335</v>
      </c>
      <c r="G154" s="11" t="s">
        <v>229</v>
      </c>
      <c r="H154" s="11" t="s">
        <v>322</v>
      </c>
      <c r="I154" s="11">
        <v>1</v>
      </c>
      <c r="J154" s="11">
        <f>IFERROR(AVERAGEIF(Table1[[#This Row],[Autumn Week 1]:[Spring Exams]],"&gt;0",Table1[[#This Row],[Autumn Week 1]:[Spring Exams]])*4*Table1[[#This Row],[Credits]],0)</f>
        <v>24</v>
      </c>
      <c r="K154" s="11">
        <v>1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>
        <v>0.1</v>
      </c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</v>
      </c>
      <c r="AL154" s="27">
        <f>IF(Table1[[#This Row],[Hours]]&gt;0,Table1[[#This Row],[Hours]],Table1[[#This Row],[Nominal Hours]])*COUNTIF(Table1[[#This Row],[Autumn Week 1]:[Spring Week 12]],"&gt;0")</f>
        <v>1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336</v>
      </c>
      <c r="G155" s="11" t="s">
        <v>220</v>
      </c>
      <c r="H155" s="11" t="s">
        <v>300</v>
      </c>
      <c r="I155" s="11">
        <v>11</v>
      </c>
      <c r="J155" s="11">
        <f>IFERROR(AVERAGEIF(Table1[[#This Row],[Autumn Week 1]:[Spring Exams]],"&gt;0",Table1[[#This Row],[Autumn Week 1]:[Spring Exams]])*4*Table1[[#This Row],[Credits]],0)</f>
        <v>48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>
        <v>0.2</v>
      </c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232</v>
      </c>
      <c r="G156" s="11" t="s">
        <v>229</v>
      </c>
      <c r="H156" s="11" t="s">
        <v>346</v>
      </c>
      <c r="I156" s="11">
        <v>11</v>
      </c>
      <c r="J156" s="11">
        <f>IFERROR(AVERAGEIF(Table1[[#This Row],[Autumn Week 1]:[Spring Exams]],"&gt;0",Table1[[#This Row],[Autumn Week 1]:[Spring Exams]])*4*Table1[[#This Row],[Credits]],0)</f>
        <v>96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>
        <v>0.4</v>
      </c>
      <c r="AJ156" s="20"/>
      <c r="AK156" s="27">
        <f>SUMIF(Table1[[#This Row],[Autumn Week 1]:[Spring Week 12]],"&gt;0",Table1[[#This Row],[Autumn Week 1]:[Spring Week 12]])</f>
        <v>0.4</v>
      </c>
      <c r="AL156" s="2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74</v>
      </c>
      <c r="B157" s="2" t="s">
        <v>23</v>
      </c>
      <c r="C157" s="11" t="s">
        <v>121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337</v>
      </c>
      <c r="G157" s="11" t="s">
        <v>229</v>
      </c>
      <c r="H157" s="11" t="s">
        <v>310</v>
      </c>
      <c r="I157" s="11">
        <v>1</v>
      </c>
      <c r="J157" s="11">
        <f>IFERROR(AVERAGEIF(Table1[[#This Row],[Autumn Week 1]:[Spring Exams]],"&gt;0",Table1[[#This Row],[Autumn Week 1]:[Spring Exams]])*4*Table1[[#This Row],[Credits]],0)</f>
        <v>36</v>
      </c>
      <c r="K157" s="11">
        <v>15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74</v>
      </c>
      <c r="B158" s="2" t="s">
        <v>23</v>
      </c>
      <c r="C158" s="11" t="s">
        <v>308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37" t="s">
        <v>338</v>
      </c>
      <c r="G158" s="11" t="s">
        <v>229</v>
      </c>
      <c r="H158" s="11" t="s">
        <v>310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36</v>
      </c>
      <c r="K158" s="11">
        <v>2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27">
        <f>SUMIF(Table1[[#This Row],[Autumn Week 1]:[Spring Week 12]],"&gt;0",Table1[[#This Row],[Autumn Week 1]:[Spring Week 12]])</f>
        <v>0</v>
      </c>
      <c r="AL158" s="2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274</v>
      </c>
      <c r="G159" s="11" t="s">
        <v>229</v>
      </c>
      <c r="H159" s="11" t="s">
        <v>300</v>
      </c>
      <c r="I159" s="11">
        <v>2</v>
      </c>
      <c r="J159" s="11">
        <f>IFERROR(AVERAGEIF(Table1[[#This Row],[Autumn Week 1]:[Spring Exams]],"&gt;0",Table1[[#This Row],[Autumn Week 1]:[Spring Exams]])*4*Table1[[#This Row],[Credits]],0)</f>
        <v>16</v>
      </c>
      <c r="K159" s="11"/>
      <c r="L159" s="18"/>
      <c r="M159" s="18"/>
      <c r="N159" s="18"/>
      <c r="O159" s="19">
        <v>0.4</v>
      </c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275</v>
      </c>
      <c r="G160" s="11" t="s">
        <v>229</v>
      </c>
      <c r="H160" s="11" t="s">
        <v>300</v>
      </c>
      <c r="I160" s="11">
        <v>4</v>
      </c>
      <c r="J160" s="11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/>
      <c r="P160" s="18"/>
      <c r="Q160" s="18"/>
      <c r="R160" s="18"/>
      <c r="S160" s="19">
        <v>0.4</v>
      </c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0.4</v>
      </c>
      <c r="AL160" s="2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276</v>
      </c>
      <c r="G161" s="11" t="s">
        <v>229</v>
      </c>
      <c r="H161" s="11" t="s">
        <v>300</v>
      </c>
      <c r="I161" s="11">
        <v>3</v>
      </c>
      <c r="J161" s="11">
        <f>IFERROR(AVERAGEIF(Table1[[#This Row],[Autumn Week 1]:[Spring Exams]],"&gt;0",Table1[[#This Row],[Autumn Week 1]:[Spring Exams]])*4*Table1[[#This Row],[Credits]],0)</f>
        <v>8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>
        <v>0.2</v>
      </c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0.2</v>
      </c>
      <c r="AL161" s="27">
        <f>IF(Table1[[#This Row],[Hours]]&gt;0,Table1[[#This Row],[Hours]],Table1[[#This Row],[Nominal Hours]])*COUNTIF(Table1[[#This Row],[Autumn Week 1]:[Spring Week 12]],"&gt;0")</f>
        <v>8</v>
      </c>
    </row>
    <row r="162" spans="1:38">
      <c r="A162" s="4" t="s">
        <v>246</v>
      </c>
      <c r="B162" s="2" t="s">
        <v>247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205</v>
      </c>
      <c r="G162" s="11" t="s">
        <v>229</v>
      </c>
      <c r="H162" s="11" t="s">
        <v>300</v>
      </c>
      <c r="I162" s="11">
        <v>5</v>
      </c>
      <c r="J162" s="11">
        <f>IFERROR(AVERAGEIF(Table1[[#This Row],[Autumn Week 1]:[Spring Exams]],"&gt;0",Table1[[#This Row],[Autumn Week 1]:[Spring Exams]])*4*Table1[[#This Row],[Credits]],0)</f>
        <v>20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>
        <v>0.5</v>
      </c>
      <c r="AD162" s="20"/>
      <c r="AE162" s="20"/>
      <c r="AF162" s="20"/>
      <c r="AG162" s="20"/>
      <c r="AH162" s="20">
        <v>0.5</v>
      </c>
      <c r="AI162" s="20"/>
      <c r="AJ162" s="20"/>
      <c r="AK162" s="27">
        <f>SUMIF(Table1[[#This Row],[Autumn Week 1]:[Spring Week 12]],"&gt;0",Table1[[#This Row],[Autumn Week 1]:[Spring Week 12]])</f>
        <v>1</v>
      </c>
      <c r="AL162" s="27">
        <f>IF(Table1[[#This Row],[Hours]]&gt;0,Table1[[#This Row],[Hours]],Table1[[#This Row],[Nominal Hours]])*COUNTIF(Table1[[#This Row],[Autumn Week 1]:[Spring Week 12]],"&gt;0")</f>
        <v>40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299</v>
      </c>
      <c r="G163" s="11" t="s">
        <v>229</v>
      </c>
      <c r="H163" s="11" t="s">
        <v>300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1.9999999999999998</v>
      </c>
      <c r="K163" s="11"/>
      <c r="L163" s="18">
        <v>0.05</v>
      </c>
      <c r="M163" s="18">
        <v>0.05</v>
      </c>
      <c r="N163" s="18">
        <v>0.05</v>
      </c>
      <c r="O163" s="18">
        <v>0.05</v>
      </c>
      <c r="P163" s="18">
        <v>0.05</v>
      </c>
      <c r="Q163" s="18">
        <v>0.05</v>
      </c>
      <c r="R163" s="18">
        <v>0.05</v>
      </c>
      <c r="S163" s="18">
        <v>0.05</v>
      </c>
      <c r="T163" s="18">
        <v>0.05</v>
      </c>
      <c r="U163" s="18">
        <v>0.05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0.49999999999999994</v>
      </c>
      <c r="AL163" s="27">
        <f>IF(Table1[[#This Row],[Hours]]&gt;0,Table1[[#This Row],[Hours]],Table1[[#This Row],[Nominal Hours]])*COUNTIF(Table1[[#This Row],[Autumn Week 1]:[Spring Week 12]],"&gt;0")</f>
        <v>19.999999999999996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301</v>
      </c>
      <c r="G164" s="11" t="s">
        <v>229</v>
      </c>
      <c r="H164" s="11" t="s">
        <v>300</v>
      </c>
      <c r="I164" s="11">
        <v>1</v>
      </c>
      <c r="J164" s="11">
        <f>IFERROR(AVERAGEIF(Table1[[#This Row],[Autumn Week 1]:[Spring Exams]],"&gt;0",Table1[[#This Row],[Autumn Week 1]:[Spring Exams]])*4*Table1[[#This Row],[Credits]],0)</f>
        <v>0.79999999999999982</v>
      </c>
      <c r="K164" s="11"/>
      <c r="L164" s="18">
        <v>0.02</v>
      </c>
      <c r="M164" s="18">
        <v>0.02</v>
      </c>
      <c r="N164" s="18">
        <v>0.02</v>
      </c>
      <c r="O164" s="18">
        <v>0.02</v>
      </c>
      <c r="P164" s="18">
        <v>0.02</v>
      </c>
      <c r="Q164" s="18">
        <v>0.02</v>
      </c>
      <c r="R164" s="18">
        <v>0.02</v>
      </c>
      <c r="S164" s="18">
        <v>0.02</v>
      </c>
      <c r="T164" s="18">
        <v>0.02</v>
      </c>
      <c r="U164" s="18">
        <v>0.02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0.19999999999999998</v>
      </c>
      <c r="AL164" s="27">
        <f>IF(Table1[[#This Row],[Hours]]&gt;0,Table1[[#This Row],[Hours]],Table1[[#This Row],[Nominal Hours]])*COUNTIF(Table1[[#This Row],[Autumn Week 1]:[Spring Week 12]],"&gt;0")</f>
        <v>7.9999999999999982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302</v>
      </c>
      <c r="G165" s="11" t="s">
        <v>229</v>
      </c>
      <c r="H165" s="11" t="s">
        <v>300</v>
      </c>
      <c r="I165" s="11">
        <v>11</v>
      </c>
      <c r="J165" s="11">
        <f>IFERROR(AVERAGEIF(Table1[[#This Row],[Autumn Week 1]:[Spring Exams]],"&gt;0",Table1[[#This Row],[Autumn Week 1]:[Spring Exams]])*4*Table1[[#This Row],[Credits]],0)</f>
        <v>12</v>
      </c>
      <c r="K165" s="11"/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0.3</v>
      </c>
      <c r="AL165" s="27">
        <f>IF(Table1[[#This Row],[Hours]]&gt;0,Table1[[#This Row],[Hours]],Table1[[#This Row],[Nominal Hours]])*COUNTIF(Table1[[#This Row],[Autumn Week 1]:[Spring Week 12]],"&gt;0")</f>
        <v>12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303</v>
      </c>
      <c r="G166" s="11" t="s">
        <v>220</v>
      </c>
      <c r="H166" s="11" t="s">
        <v>300</v>
      </c>
      <c r="I166" s="11">
        <v>2</v>
      </c>
      <c r="J166" s="11">
        <f>IFERROR(AVERAGEIF(Table1[[#This Row],[Autumn Week 1]:[Spring Exams]],"&gt;0",Table1[[#This Row],[Autumn Week 1]:[Spring Exams]])*4*Table1[[#This Row],[Credits]],0)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304</v>
      </c>
      <c r="G167" s="11" t="s">
        <v>220</v>
      </c>
      <c r="H167" s="11" t="s">
        <v>300</v>
      </c>
      <c r="I167" s="11">
        <v>2</v>
      </c>
      <c r="J167" s="11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305</v>
      </c>
      <c r="G168" s="11" t="s">
        <v>229</v>
      </c>
      <c r="H168" s="11" t="s">
        <v>306</v>
      </c>
      <c r="I168" s="11">
        <v>3</v>
      </c>
      <c r="J168" s="11">
        <f>IFERROR(AVERAGEIF(Table1[[#This Row],[Autumn Week 1]:[Spring Exams]],"&gt;0",Table1[[#This Row],[Autumn Week 1]:[Spring Exams]])*4*Table1[[#This Row],[Credits]],0)</f>
        <v>24</v>
      </c>
      <c r="K168" s="11"/>
      <c r="L168" s="18"/>
      <c r="M168" s="18"/>
      <c r="N168" s="18"/>
      <c r="O168" s="19">
        <v>0.3</v>
      </c>
      <c r="P168" s="18">
        <v>-0.3</v>
      </c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0.3</v>
      </c>
      <c r="AL168" s="27">
        <f>IF(Table1[[#This Row],[Hours]]&gt;0,Table1[[#This Row],[Hours]],Table1[[#This Row],[Nominal Hours]])*COUNTIF(Table1[[#This Row],[Autumn Week 1]:[Spring Week 12]],"&gt;0")</f>
        <v>24</v>
      </c>
    </row>
    <row r="169" spans="1:38">
      <c r="A169" s="4" t="s">
        <v>181</v>
      </c>
      <c r="B169" s="2" t="s">
        <v>184</v>
      </c>
      <c r="C169" s="11" t="s">
        <v>123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265</v>
      </c>
      <c r="G169" s="11" t="s">
        <v>229</v>
      </c>
      <c r="H169" s="11" t="s">
        <v>300</v>
      </c>
      <c r="I169" s="11">
        <v>6</v>
      </c>
      <c r="J169" s="11">
        <f>IFERROR(AVERAGEIF(Table1[[#This Row],[Autumn Week 1]:[Spring Exams]],"&gt;0",Table1[[#This Row],[Autumn Week 1]:[Spring Exams]])*4*Table1[[#This Row],[Credits]],0)</f>
        <v>8</v>
      </c>
      <c r="K169" s="11">
        <v>4</v>
      </c>
      <c r="L169" s="18"/>
      <c r="M169" s="18"/>
      <c r="N169" s="18"/>
      <c r="O169" s="19"/>
      <c r="P169" s="18"/>
      <c r="Q169" s="18">
        <v>0.1</v>
      </c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0.1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122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307</v>
      </c>
      <c r="G170" s="11" t="s">
        <v>229</v>
      </c>
      <c r="H170" s="11" t="s">
        <v>300</v>
      </c>
      <c r="I170" s="11">
        <v>6</v>
      </c>
      <c r="J170" s="11">
        <f>IFERROR(AVERAGEIF(Table1[[#This Row],[Autumn Week 1]:[Spring Exams]],"&gt;0",Table1[[#This Row],[Autumn Week 1]:[Spring Exams]])*4*Table1[[#This Row],[Credits]],0)</f>
        <v>16</v>
      </c>
      <c r="K170" s="11">
        <v>0.5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0.5</v>
      </c>
    </row>
    <row r="171" spans="1:38">
      <c r="A171" s="4" t="s">
        <v>181</v>
      </c>
      <c r="B171" s="2" t="s">
        <v>184</v>
      </c>
      <c r="C171" s="11" t="s">
        <v>308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309</v>
      </c>
      <c r="G171" s="11" t="s">
        <v>229</v>
      </c>
      <c r="H171" s="11" t="s">
        <v>310</v>
      </c>
      <c r="I171" s="11">
        <v>1</v>
      </c>
      <c r="J171" s="11">
        <f>IFERROR(AVERAGEIF(Table1[[#This Row],[Autumn Week 1]:[Spring Exams]],"&gt;0",Table1[[#This Row],[Autumn Week 1]:[Spring Exams]])*4*Table1[[#This Row],[Credits]],0)</f>
        <v>32</v>
      </c>
      <c r="K171" s="11">
        <v>1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0.4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0.4</v>
      </c>
      <c r="AL171" s="27">
        <f>IF(Table1[[#This Row],[Hours]]&gt;0,Table1[[#This Row],[Hours]],Table1[[#This Row],[Nominal Hours]])*COUNTIF(Table1[[#This Row],[Autumn Week 1]:[Spring Week 12]],"&gt;0")</f>
        <v>1</v>
      </c>
    </row>
    <row r="172" spans="1:38">
      <c r="A172" s="4" t="s">
        <v>182</v>
      </c>
      <c r="B172" s="2" t="s">
        <v>185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311</v>
      </c>
      <c r="G172" s="11" t="s">
        <v>389</v>
      </c>
      <c r="H172" s="11" t="s">
        <v>300</v>
      </c>
      <c r="I172" s="11">
        <v>3</v>
      </c>
      <c r="J172" s="11">
        <f>IFERROR(AVERAGEIF(Table1[[#This Row],[Autumn Week 1]:[Spring Exams]],"&gt;0",Table1[[#This Row],[Autumn Week 1]:[Spring Exams]])*4*Table1[[#This Row],[Credits]],0)</f>
        <v>4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>
        <v>0.05</v>
      </c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0.05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4" t="s">
        <v>182</v>
      </c>
      <c r="B173" s="2" t="s">
        <v>185</v>
      </c>
      <c r="C173" s="11" t="s">
        <v>123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300</v>
      </c>
      <c r="I173" s="11">
        <v>7</v>
      </c>
      <c r="J173" s="11">
        <f>IFERROR(AVERAGEIF(Table1[[#This Row],[Autumn Week 1]:[Spring Exams]],"&gt;0",Table1[[#This Row],[Autumn Week 1]:[Spring Exams]])*4*Table1[[#This Row],[Credits]],0)</f>
        <v>16</v>
      </c>
      <c r="K173" s="11">
        <v>0.5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>
        <v>0.2</v>
      </c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0.2</v>
      </c>
      <c r="AL173" s="27">
        <f>IF(Table1[[#This Row],[Hours]]&gt;0,Table1[[#This Row],[Hours]],Table1[[#This Row],[Nominal Hours]])*COUNTIF(Table1[[#This Row],[Autumn Week 1]:[Spring Week 12]],"&gt;0")</f>
        <v>0.5</v>
      </c>
    </row>
    <row r="174" spans="1:38">
      <c r="A174" s="4" t="s">
        <v>182</v>
      </c>
      <c r="B174" s="2" t="s">
        <v>185</v>
      </c>
      <c r="C174" s="11" t="s">
        <v>122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312</v>
      </c>
      <c r="G174" s="11" t="s">
        <v>229</v>
      </c>
      <c r="H174" s="11" t="s">
        <v>300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24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>
        <v>0.3</v>
      </c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0.3</v>
      </c>
      <c r="AL174" s="27">
        <f>IF(Table1[[#This Row],[Hours]]&gt;0,Table1[[#This Row],[Hours]],Table1[[#This Row],[Nominal Hours]])*COUNTIF(Table1[[#This Row],[Autumn Week 1]:[Spring Week 12]],"&gt;0")</f>
        <v>24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313</v>
      </c>
      <c r="G175" s="11" t="s">
        <v>229</v>
      </c>
      <c r="H175" s="11" t="s">
        <v>300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40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0.5</v>
      </c>
      <c r="AJ175" s="20"/>
      <c r="AK175" s="27">
        <f>SUMIF(Table1[[#This Row],[Autumn Week 1]:[Spring Week 12]],"&gt;0",Table1[[#This Row],[Autumn Week 1]:[Spring Week 12]])</f>
        <v>0.5</v>
      </c>
      <c r="AL175" s="27">
        <f>IF(Table1[[#This Row],[Hours]]&gt;0,Table1[[#This Row],[Hours]],Table1[[#This Row],[Nominal Hours]])*COUNTIF(Table1[[#This Row],[Autumn Week 1]:[Spring Week 12]],"&gt;0")</f>
        <v>40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316</v>
      </c>
      <c r="G176" s="11" t="s">
        <v>229</v>
      </c>
      <c r="H176" s="11" t="s">
        <v>317</v>
      </c>
      <c r="I176" s="11">
        <v>4</v>
      </c>
      <c r="J176" s="11">
        <f>IFERROR(AVERAGEIF(Table1[[#This Row],[Autumn Week 1]:[Spring Exams]],"&gt;0",Table1[[#This Row],[Autumn Week 1]:[Spring Exams]])*4*Table1[[#This Row],[Credits]],0)</f>
        <v>4</v>
      </c>
      <c r="K176" s="11"/>
      <c r="L176" s="18"/>
      <c r="M176" s="18"/>
      <c r="N176" s="18"/>
      <c r="O176" s="19"/>
      <c r="P176" s="18"/>
      <c r="Q176" s="18"/>
      <c r="R176" s="18">
        <v>0.1</v>
      </c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0.1</v>
      </c>
      <c r="AL176" s="27">
        <f>IF(Table1[[#This Row],[Hours]]&gt;0,Table1[[#This Row],[Hours]],Table1[[#This Row],[Nominal Hours]])*COUNTIF(Table1[[#This Row],[Autumn Week 1]:[Spring Week 12]],"&gt;0")</f>
        <v>4</v>
      </c>
    </row>
    <row r="177" spans="1:38">
      <c r="A177" s="3" t="s">
        <v>314</v>
      </c>
      <c r="B177" s="28" t="s">
        <v>315</v>
      </c>
      <c r="C177" s="11" t="s">
        <v>5</v>
      </c>
      <c r="D177" s="29">
        <f>INDEX(Table2[CA weight],MATCH(Table1[[#This Row],[Module Code]],Table2[Module Code],0))</f>
        <v>30</v>
      </c>
      <c r="E177" s="29">
        <f>INDEX(Table2[Credits],MATCH(Table1[[#This Row],[Module Code]],Table2[Module Code],0))</f>
        <v>10</v>
      </c>
      <c r="F177" s="11" t="s">
        <v>318</v>
      </c>
      <c r="G177" s="11" t="s">
        <v>229</v>
      </c>
      <c r="H177" s="11" t="s">
        <v>317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>
        <v>0.2</v>
      </c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321</v>
      </c>
      <c r="G178" s="11" t="s">
        <v>229</v>
      </c>
      <c r="H178" s="11" t="s">
        <v>322</v>
      </c>
      <c r="I178" s="11">
        <v>3</v>
      </c>
      <c r="J178" s="11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>
        <v>0.2</v>
      </c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323</v>
      </c>
      <c r="G179" s="11" t="s">
        <v>229</v>
      </c>
      <c r="H179" s="11" t="s">
        <v>322</v>
      </c>
      <c r="I179" s="11">
        <v>8</v>
      </c>
      <c r="J179" s="11">
        <f>IFERROR(AVERAGEIF(Table1[[#This Row],[Autumn Week 1]:[Spring Exams]],"&gt;0",Table1[[#This Row],[Autumn Week 1]:[Spring Exams]])*4*Table1[[#This Row],[Credits]],0)</f>
        <v>20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0.5</v>
      </c>
      <c r="AJ179" s="20"/>
      <c r="AK179" s="27">
        <f>SUMIF(Table1[[#This Row],[Autumn Week 1]:[Spring Week 12]],"&gt;0",Table1[[#This Row],[Autumn Week 1]:[Spring Week 12]])</f>
        <v>0.5</v>
      </c>
      <c r="AL179" s="27">
        <f>IF(Table1[[#This Row],[Hours]]&gt;0,Table1[[#This Row],[Hours]],Table1[[#This Row],[Nominal Hours]])*COUNTIF(Table1[[#This Row],[Autumn Week 1]:[Spring Week 12]],"&gt;0")</f>
        <v>20</v>
      </c>
    </row>
    <row r="180" spans="1:38">
      <c r="A180" s="3" t="s">
        <v>319</v>
      </c>
      <c r="B180" s="28" t="s">
        <v>320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324</v>
      </c>
      <c r="G180" s="11" t="s">
        <v>229</v>
      </c>
      <c r="H180" s="11" t="s">
        <v>322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12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0.3</v>
      </c>
      <c r="AJ180" s="20"/>
      <c r="AK180" s="27">
        <f>SUMIF(Table1[[#This Row],[Autumn Week 1]:[Spring Week 12]],"&gt;0",Table1[[#This Row],[Autumn Week 1]:[Spring Week 12]])</f>
        <v>0.3</v>
      </c>
      <c r="AL180" s="27">
        <f>IF(Table1[[#This Row],[Hours]]&gt;0,Table1[[#This Row],[Hours]],Table1[[#This Row],[Nominal Hours]])*COUNTIF(Table1[[#This Row],[Autumn Week 1]:[Spring Week 12]],"&gt;0")</f>
        <v>12</v>
      </c>
    </row>
    <row r="181" spans="1:38">
      <c r="A181" s="3" t="s">
        <v>325</v>
      </c>
      <c r="B181" s="28" t="s">
        <v>326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327</v>
      </c>
      <c r="G181" s="11" t="s">
        <v>229</v>
      </c>
      <c r="H181" s="11" t="s">
        <v>322</v>
      </c>
      <c r="I181" s="11">
        <v>4</v>
      </c>
      <c r="J181" s="11">
        <f>IFERROR(AVERAGEIF(Table1[[#This Row],[Autumn Week 1]:[Spring Exams]],"&gt;0",Table1[[#This Row],[Autumn Week 1]:[Spring Exams]])*4*Table1[[#This Row],[Credits]],0)</f>
        <v>40</v>
      </c>
      <c r="K181" s="11">
        <v>20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325</v>
      </c>
      <c r="B182" s="28" t="s">
        <v>326</v>
      </c>
      <c r="C182" s="11" t="s">
        <v>4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20</v>
      </c>
      <c r="F182" s="11" t="s">
        <v>328</v>
      </c>
      <c r="G182" s="11" t="s">
        <v>229</v>
      </c>
      <c r="H182" s="11" t="s">
        <v>310</v>
      </c>
      <c r="I182" s="11">
        <v>1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1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>
        <v>0.5</v>
      </c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1</v>
      </c>
    </row>
    <row r="183" spans="1:38">
      <c r="A183" s="3" t="s">
        <v>329</v>
      </c>
      <c r="B183" s="28" t="s">
        <v>330</v>
      </c>
      <c r="C183" s="11" t="s">
        <v>5</v>
      </c>
      <c r="D183" s="29">
        <f>INDEX(Table2[CA weight],MATCH(Table1[[#This Row],[Module Code]],Table2[Module Code],0))</f>
        <v>50</v>
      </c>
      <c r="E183" s="29">
        <f>INDEX(Table2[Credits],MATCH(Table1[[#This Row],[Module Code]],Table2[Module Code],0))</f>
        <v>20</v>
      </c>
      <c r="F183" s="11" t="s">
        <v>331</v>
      </c>
      <c r="G183" s="11" t="s">
        <v>229</v>
      </c>
      <c r="H183" s="11" t="s">
        <v>322</v>
      </c>
      <c r="I183" s="11">
        <v>2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8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>
        <v>0.5</v>
      </c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76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378</v>
      </c>
      <c r="Q1" s="5" t="s">
        <v>379</v>
      </c>
      <c r="R1" s="5" t="s">
        <v>241</v>
      </c>
      <c r="S1" s="5" t="s">
        <v>377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373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373</v>
      </c>
      <c r="B74" s="3" t="s">
        <v>357</v>
      </c>
      <c r="C74" s="3" t="s">
        <v>108</v>
      </c>
      <c r="D74" s="28" t="s">
        <v>178</v>
      </c>
      <c r="E74" s="3" t="s">
        <v>374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375</v>
      </c>
      <c r="B97" s="3" t="s">
        <v>376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2026-06-01T14:41:02Z</dcterms:modified>
</cp:coreProperties>
</file>