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512" documentId="8_{F30C7968-F540-46E6-A81C-665FBDA0D3DA}" xr6:coauthVersionLast="47" xr6:coauthVersionMax="47" xr10:uidLastSave="{96133C9B-F3E8-486A-BB54-652495E5D8D5}"/>
  <bookViews>
    <workbookView xWindow="19110" yWindow="0" windowWidth="19380" windowHeight="20970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externalReferences>
    <externalReference r:id="rId5"/>
  </externalReferences>
  <calcPr calcId="191029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6" i="2" l="1"/>
  <c r="V97" i="2"/>
  <c r="V98" i="2"/>
  <c r="V99" i="2"/>
  <c r="V100" i="2"/>
  <c r="W97" i="2"/>
  <c r="W98" i="2"/>
  <c r="V74" i="2"/>
  <c r="AK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W96" i="2" s="1"/>
  <c r="AK171" i="1"/>
  <c r="AK172" i="1"/>
  <c r="AK173" i="1"/>
  <c r="AK174" i="1"/>
  <c r="AK175" i="1"/>
  <c r="W99" i="2" s="1"/>
  <c r="AK176" i="1"/>
  <c r="AK177" i="1"/>
  <c r="W100" i="2" s="1"/>
  <c r="W74" i="2" l="1"/>
  <c r="V39" i="2" l="1"/>
  <c r="D97" i="1" s="1"/>
  <c r="D170" i="1"/>
  <c r="D171" i="1"/>
  <c r="D172" i="1"/>
  <c r="D173" i="1"/>
  <c r="D174" i="1"/>
  <c r="D175" i="1"/>
  <c r="D176" i="1"/>
  <c r="D177" i="1"/>
  <c r="E118" i="1"/>
  <c r="J118" i="1" s="1"/>
  <c r="AL118" i="1" s="1"/>
  <c r="E119" i="1"/>
  <c r="E120" i="1"/>
  <c r="J120" i="1" s="1"/>
  <c r="AL120" i="1" s="1"/>
  <c r="E121" i="1"/>
  <c r="E122" i="1"/>
  <c r="E123" i="1"/>
  <c r="E124" i="1"/>
  <c r="E125" i="1"/>
  <c r="E126" i="1"/>
  <c r="E111" i="1"/>
  <c r="J111" i="1" s="1"/>
  <c r="AL111" i="1" s="1"/>
  <c r="E110" i="1"/>
  <c r="J110" i="1" s="1"/>
  <c r="AL110" i="1" s="1"/>
  <c r="E97" i="1"/>
  <c r="J97" i="1" s="1"/>
  <c r="AL97" i="1" s="1"/>
  <c r="E96" i="1"/>
  <c r="J96" i="1" s="1"/>
  <c r="AL96" i="1" s="1"/>
  <c r="E91" i="1"/>
  <c r="J91" i="1" s="1"/>
  <c r="AL91" i="1" s="1"/>
  <c r="V94" i="2"/>
  <c r="D163" i="1" s="1"/>
  <c r="M71" i="1"/>
  <c r="N71" i="1"/>
  <c r="O71" i="1"/>
  <c r="P71" i="1"/>
  <c r="Q71" i="1"/>
  <c r="R71" i="1"/>
  <c r="S71" i="1"/>
  <c r="T71" i="1"/>
  <c r="U71" i="1"/>
  <c r="D36" i="1"/>
  <c r="E36" i="1"/>
  <c r="J36" i="1" s="1"/>
  <c r="AL36" i="1" s="1"/>
  <c r="L106" i="1"/>
  <c r="W39" i="2"/>
  <c r="D29" i="1"/>
  <c r="E29" i="1"/>
  <c r="J29" i="1" s="1"/>
  <c r="AL29" i="1" s="1"/>
  <c r="D19" i="1"/>
  <c r="E19" i="1"/>
  <c r="J19" i="1" s="1"/>
  <c r="AL19" i="1" s="1"/>
  <c r="D15" i="1"/>
  <c r="E15" i="1"/>
  <c r="J15" i="1" s="1"/>
  <c r="AL15" i="1" s="1"/>
  <c r="D12" i="1"/>
  <c r="E12" i="1"/>
  <c r="J12" i="1" s="1"/>
  <c r="AL12" i="1" s="1"/>
  <c r="D5" i="1"/>
  <c r="E5" i="1"/>
  <c r="J5" i="1" s="1"/>
  <c r="AL5" i="1" s="1"/>
  <c r="D50" i="1"/>
  <c r="D51" i="1"/>
  <c r="D52" i="1"/>
  <c r="E50" i="1"/>
  <c r="J50" i="1" s="1"/>
  <c r="AL50" i="1" s="1"/>
  <c r="E51" i="1"/>
  <c r="J51" i="1" s="1"/>
  <c r="AL51" i="1" s="1"/>
  <c r="E52" i="1"/>
  <c r="J52" i="1" s="1"/>
  <c r="AL52" i="1" s="1"/>
  <c r="E177" i="1"/>
  <c r="J177" i="1" s="1"/>
  <c r="AL177" i="1" s="1"/>
  <c r="E176" i="1"/>
  <c r="J176" i="1" s="1"/>
  <c r="AL176" i="1" s="1"/>
  <c r="E175" i="1"/>
  <c r="J175" i="1" s="1"/>
  <c r="AL175" i="1" s="1"/>
  <c r="E174" i="1"/>
  <c r="J174" i="1" s="1"/>
  <c r="AL174" i="1" s="1"/>
  <c r="E173" i="1"/>
  <c r="J173" i="1" s="1"/>
  <c r="AL173" i="1" s="1"/>
  <c r="E172" i="1"/>
  <c r="J172" i="1" s="1"/>
  <c r="AL172" i="1" s="1"/>
  <c r="E171" i="1"/>
  <c r="J171" i="1" s="1"/>
  <c r="AL171" i="1" s="1"/>
  <c r="E170" i="1"/>
  <c r="J170" i="1" s="1"/>
  <c r="AL170" i="1" s="1"/>
  <c r="E169" i="1"/>
  <c r="J169" i="1" s="1"/>
  <c r="AL169" i="1" s="1"/>
  <c r="E168" i="1"/>
  <c r="J168" i="1" s="1"/>
  <c r="AL168" i="1" s="1"/>
  <c r="E167" i="1"/>
  <c r="J167" i="1" s="1"/>
  <c r="AL167" i="1" s="1"/>
  <c r="E166" i="1"/>
  <c r="J166" i="1" s="1"/>
  <c r="AL166" i="1" s="1"/>
  <c r="E165" i="1"/>
  <c r="J165" i="1" s="1"/>
  <c r="AL165" i="1" s="1"/>
  <c r="D165" i="1"/>
  <c r="E164" i="1"/>
  <c r="J164" i="1" s="1"/>
  <c r="AL164" i="1" s="1"/>
  <c r="D164" i="1"/>
  <c r="E163" i="1"/>
  <c r="J163" i="1" s="1"/>
  <c r="AL163" i="1" s="1"/>
  <c r="E162" i="1"/>
  <c r="J162" i="1" s="1"/>
  <c r="AL162" i="1" s="1"/>
  <c r="E161" i="1"/>
  <c r="J161" i="1" s="1"/>
  <c r="AL161" i="1" s="1"/>
  <c r="D161" i="1"/>
  <c r="E160" i="1"/>
  <c r="J160" i="1" s="1"/>
  <c r="AL160" i="1" s="1"/>
  <c r="D160" i="1"/>
  <c r="E159" i="1"/>
  <c r="J159" i="1" s="1"/>
  <c r="AL159" i="1" s="1"/>
  <c r="E158" i="1"/>
  <c r="J158" i="1" s="1"/>
  <c r="AL158" i="1" s="1"/>
  <c r="E157" i="1"/>
  <c r="J157" i="1" s="1"/>
  <c r="AL157" i="1" s="1"/>
  <c r="E156" i="1"/>
  <c r="E155" i="1"/>
  <c r="E154" i="1"/>
  <c r="E153" i="1"/>
  <c r="E152" i="1"/>
  <c r="J152" i="1" s="1"/>
  <c r="AL152" i="1" s="1"/>
  <c r="E151" i="1"/>
  <c r="J151" i="1" s="1"/>
  <c r="E150" i="1"/>
  <c r="J150" i="1" s="1"/>
  <c r="AL150" i="1" s="1"/>
  <c r="E149" i="1"/>
  <c r="J149" i="1" s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17" i="1"/>
  <c r="E116" i="1"/>
  <c r="E115" i="1"/>
  <c r="E114" i="1"/>
  <c r="E113" i="1"/>
  <c r="E112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5" i="1"/>
  <c r="E94" i="1"/>
  <c r="E93" i="1"/>
  <c r="E92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49" i="1"/>
  <c r="E48" i="1"/>
  <c r="E47" i="1"/>
  <c r="E46" i="1"/>
  <c r="E45" i="1"/>
  <c r="E44" i="1"/>
  <c r="E43" i="1"/>
  <c r="E42" i="1"/>
  <c r="E37" i="1"/>
  <c r="E35" i="1"/>
  <c r="E34" i="1"/>
  <c r="E33" i="1"/>
  <c r="E32" i="1"/>
  <c r="E31" i="1"/>
  <c r="E30" i="1"/>
  <c r="E28" i="1"/>
  <c r="E27" i="1"/>
  <c r="E41" i="1"/>
  <c r="E40" i="1"/>
  <c r="E39" i="1"/>
  <c r="E38" i="1"/>
  <c r="E26" i="1"/>
  <c r="E25" i="1"/>
  <c r="E24" i="1"/>
  <c r="E23" i="1"/>
  <c r="E22" i="1"/>
  <c r="E21" i="1"/>
  <c r="E20" i="1"/>
  <c r="E18" i="1"/>
  <c r="E17" i="1"/>
  <c r="E16" i="1"/>
  <c r="E14" i="1"/>
  <c r="E13" i="1"/>
  <c r="E11" i="1"/>
  <c r="E10" i="1"/>
  <c r="E9" i="1"/>
  <c r="E8" i="1"/>
  <c r="E7" i="1"/>
  <c r="E6" i="1"/>
  <c r="E4" i="1"/>
  <c r="E3" i="1"/>
  <c r="E2" i="1"/>
  <c r="W94" i="2"/>
  <c r="L145" i="1"/>
  <c r="AL149" i="1"/>
  <c r="AL151" i="1"/>
  <c r="D162" i="1" l="1"/>
  <c r="D96" i="1"/>
  <c r="J93" i="1"/>
  <c r="AL93" i="1" s="1"/>
  <c r="J85" i="1"/>
  <c r="AL85" i="1" s="1"/>
  <c r="J80" i="1"/>
  <c r="AL80" i="1" s="1"/>
  <c r="J73" i="1"/>
  <c r="AL73" i="1" s="1"/>
  <c r="J69" i="1"/>
  <c r="AL69" i="1" s="1"/>
  <c r="J143" i="1" l="1"/>
  <c r="AL143" i="1" s="1"/>
  <c r="J144" i="1"/>
  <c r="AL144" i="1" s="1"/>
  <c r="J141" i="1"/>
  <c r="AL141" i="1" s="1"/>
  <c r="J133" i="1"/>
  <c r="AL133" i="1" s="1"/>
  <c r="AL131" i="1"/>
  <c r="J131" i="1"/>
  <c r="J41" i="1"/>
  <c r="AL41" i="1" s="1"/>
  <c r="J138" i="1" l="1"/>
  <c r="AL138" i="1" s="1"/>
  <c r="J57" i="1"/>
  <c r="AL57" i="1" s="1"/>
  <c r="J9" i="1" l="1"/>
  <c r="AL9" i="1" s="1"/>
  <c r="V112" i="1"/>
  <c r="U112" i="1"/>
  <c r="T112" i="1"/>
  <c r="S112" i="1"/>
  <c r="R112" i="1"/>
  <c r="Q112" i="1"/>
  <c r="P112" i="1"/>
  <c r="O112" i="1"/>
  <c r="N112" i="1"/>
  <c r="M112" i="1"/>
  <c r="J113" i="1" l="1"/>
  <c r="AL113" i="1" s="1"/>
  <c r="J21" i="1" l="1"/>
  <c r="AL21" i="1" s="1"/>
  <c r="S7" i="1"/>
  <c r="U7" i="1"/>
  <c r="O7" i="1"/>
  <c r="U6" i="1"/>
  <c r="T6" i="1"/>
  <c r="S6" i="1"/>
  <c r="R6" i="1"/>
  <c r="Q6" i="1"/>
  <c r="P6" i="1"/>
  <c r="O6" i="1"/>
  <c r="N6" i="1"/>
  <c r="M6" i="1"/>
  <c r="AL2" i="1"/>
  <c r="J2" i="1"/>
  <c r="J156" i="1"/>
  <c r="AL156" i="1" s="1"/>
  <c r="D62" i="3" l="1"/>
  <c r="E62" i="3"/>
  <c r="F62" i="3"/>
  <c r="AE62" i="3"/>
  <c r="J155" i="1"/>
  <c r="AL155" i="1" s="1"/>
  <c r="J154" i="1"/>
  <c r="AL154" i="1" s="1"/>
  <c r="J153" i="1"/>
  <c r="AL153" i="1" s="1"/>
  <c r="W11" i="2"/>
  <c r="W91" i="2"/>
  <c r="W93" i="2"/>
  <c r="AH135" i="1"/>
  <c r="AG135" i="1"/>
  <c r="AF135" i="1"/>
  <c r="AE135" i="1"/>
  <c r="AD135" i="1"/>
  <c r="AC135" i="1"/>
  <c r="AB135" i="1"/>
  <c r="AA135" i="1"/>
  <c r="Z135" i="1"/>
  <c r="Y135" i="1"/>
  <c r="X135" i="1"/>
  <c r="J136" i="1"/>
  <c r="AL136" i="1" s="1"/>
  <c r="V93" i="2"/>
  <c r="D156" i="1" s="1"/>
  <c r="V92" i="2"/>
  <c r="V91" i="2"/>
  <c r="T90" i="2"/>
  <c r="V90" i="2"/>
  <c r="V61" i="2"/>
  <c r="D155" i="1" l="1"/>
  <c r="D154" i="1"/>
  <c r="D153" i="1"/>
  <c r="D136" i="1"/>
  <c r="D135" i="1"/>
  <c r="D159" i="1"/>
  <c r="D158" i="1"/>
  <c r="D157" i="1"/>
  <c r="W92" i="2"/>
  <c r="J135" i="1"/>
  <c r="AL135" i="1" s="1"/>
  <c r="F70" i="4"/>
  <c r="C70" i="4"/>
  <c r="AL6" i="1"/>
  <c r="AL7" i="1"/>
  <c r="AL16" i="1"/>
  <c r="AL17" i="1"/>
  <c r="AL23" i="1"/>
  <c r="AL24" i="1"/>
  <c r="AL26" i="1"/>
  <c r="AL39" i="1"/>
  <c r="AL27" i="1"/>
  <c r="AL28" i="1"/>
  <c r="AL30" i="1"/>
  <c r="AL32" i="1"/>
  <c r="AL33" i="1"/>
  <c r="AL34" i="1"/>
  <c r="AL35" i="1"/>
  <c r="AL43" i="1"/>
  <c r="AL44" i="1"/>
  <c r="AL45" i="1"/>
  <c r="AL46" i="1"/>
  <c r="AL48" i="1"/>
  <c r="AL53" i="1"/>
  <c r="AL54" i="1"/>
  <c r="AL62" i="1"/>
  <c r="AL66" i="1"/>
  <c r="AL74" i="1"/>
  <c r="AL77" i="1"/>
  <c r="AL78" i="1"/>
  <c r="AL79" i="1"/>
  <c r="AL81" i="1"/>
  <c r="AL82" i="1"/>
  <c r="AL84" i="1"/>
  <c r="C36" i="4" s="1"/>
  <c r="AL92" i="1"/>
  <c r="AL98" i="1"/>
  <c r="AL99" i="1"/>
  <c r="AL100" i="1"/>
  <c r="AL101" i="1"/>
  <c r="AL102" i="1"/>
  <c r="AL105" i="1"/>
  <c r="C47" i="4" s="1"/>
  <c r="AL116" i="1"/>
  <c r="AL122" i="1"/>
  <c r="AL123" i="1"/>
  <c r="AL127" i="1"/>
  <c r="AL129" i="1"/>
  <c r="AL130" i="1"/>
  <c r="C60" i="4" s="1"/>
  <c r="AL139" i="1"/>
  <c r="C63" i="4" s="1"/>
  <c r="AL147" i="1"/>
  <c r="AL148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J145" i="1"/>
  <c r="AL145" i="1" s="1"/>
  <c r="C34" i="4"/>
  <c r="E34" i="4" s="1"/>
  <c r="F34" i="4" s="1"/>
  <c r="C16" i="4"/>
  <c r="E16" i="4" s="1"/>
  <c r="F16" i="4" s="1"/>
  <c r="C42" i="4"/>
  <c r="E42" i="4" s="1"/>
  <c r="F42" i="4" s="1"/>
  <c r="J106" i="1"/>
  <c r="AL106" i="1" s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J3" i="1" l="1"/>
  <c r="AL3" i="1" s="1"/>
  <c r="C4" i="4" s="1"/>
  <c r="E4" i="4" s="1"/>
  <c r="F4" i="4" s="1"/>
  <c r="J4" i="1"/>
  <c r="AL4" i="1" s="1"/>
  <c r="C5" i="4" s="1"/>
  <c r="E5" i="4" s="1"/>
  <c r="F5" i="4" s="1"/>
  <c r="J6" i="1"/>
  <c r="J7" i="1"/>
  <c r="J8" i="1"/>
  <c r="AL8" i="1" s="1"/>
  <c r="J13" i="1"/>
  <c r="AL13" i="1" s="1"/>
  <c r="C8" i="4" s="1"/>
  <c r="E8" i="4" s="1"/>
  <c r="F8" i="4" s="1"/>
  <c r="J14" i="1"/>
  <c r="AL14" i="1" s="1"/>
  <c r="C9" i="4" s="1"/>
  <c r="E9" i="4" s="1"/>
  <c r="F9" i="4" s="1"/>
  <c r="J16" i="1"/>
  <c r="J17" i="1"/>
  <c r="J18" i="1"/>
  <c r="AL18" i="1" s="1"/>
  <c r="C10" i="4" s="1"/>
  <c r="E10" i="4" s="1"/>
  <c r="F10" i="4" s="1"/>
  <c r="J20" i="1"/>
  <c r="AL20" i="1" s="1"/>
  <c r="C11" i="4" s="1"/>
  <c r="E11" i="4" s="1"/>
  <c r="F11" i="4" s="1"/>
  <c r="J22" i="1"/>
  <c r="AL22" i="1" s="1"/>
  <c r="C12" i="4" s="1"/>
  <c r="E12" i="4" s="1"/>
  <c r="F12" i="4" s="1"/>
  <c r="J23" i="1"/>
  <c r="J24" i="1"/>
  <c r="J26" i="1"/>
  <c r="J39" i="1"/>
  <c r="J40" i="1"/>
  <c r="AL40" i="1" s="1"/>
  <c r="J27" i="1"/>
  <c r="J28" i="1"/>
  <c r="J30" i="1"/>
  <c r="J32" i="1"/>
  <c r="J33" i="1"/>
  <c r="J34" i="1"/>
  <c r="J35" i="1"/>
  <c r="J37" i="1"/>
  <c r="AL37" i="1" s="1"/>
  <c r="C19" i="4" s="1"/>
  <c r="E19" i="4" s="1"/>
  <c r="F19" i="4" s="1"/>
  <c r="J43" i="1"/>
  <c r="J44" i="1"/>
  <c r="J45" i="1"/>
  <c r="J46" i="1"/>
  <c r="J47" i="1"/>
  <c r="AL47" i="1" s="1"/>
  <c r="J48" i="1"/>
  <c r="J49" i="1"/>
  <c r="AL49" i="1" s="1"/>
  <c r="J53" i="1"/>
  <c r="J54" i="1"/>
  <c r="J55" i="1"/>
  <c r="AL55" i="1" s="1"/>
  <c r="C23" i="4" s="1"/>
  <c r="E23" i="4" s="1"/>
  <c r="F23" i="4" s="1"/>
  <c r="J56" i="1"/>
  <c r="AL56" i="1" s="1"/>
  <c r="C24" i="4" s="1"/>
  <c r="E24" i="4" s="1"/>
  <c r="F24" i="4" s="1"/>
  <c r="J58" i="1"/>
  <c r="AL58" i="1" s="1"/>
  <c r="J59" i="1"/>
  <c r="AL59" i="1" s="1"/>
  <c r="J61" i="1"/>
  <c r="AL61" i="1" s="1"/>
  <c r="J62" i="1"/>
  <c r="J63" i="1"/>
  <c r="AL63" i="1" s="1"/>
  <c r="J65" i="1"/>
  <c r="AL65" i="1" s="1"/>
  <c r="J66" i="1"/>
  <c r="J67" i="1"/>
  <c r="AL67" i="1" s="1"/>
  <c r="J70" i="1"/>
  <c r="AL70" i="1" s="1"/>
  <c r="J74" i="1"/>
  <c r="J75" i="1"/>
  <c r="AL75" i="1" s="1"/>
  <c r="C31" i="4" s="1"/>
  <c r="E31" i="4" s="1"/>
  <c r="F31" i="4" s="1"/>
  <c r="J76" i="1"/>
  <c r="AL76" i="1" s="1"/>
  <c r="C33" i="4" s="1"/>
  <c r="E33" i="4" s="1"/>
  <c r="F33" i="4" s="1"/>
  <c r="J77" i="1"/>
  <c r="J78" i="1"/>
  <c r="J79" i="1"/>
  <c r="J81" i="1"/>
  <c r="J82" i="1"/>
  <c r="J83" i="1"/>
  <c r="AL83" i="1" s="1"/>
  <c r="C35" i="4" s="1"/>
  <c r="E35" i="4" s="1"/>
  <c r="F35" i="4" s="1"/>
  <c r="J84" i="1"/>
  <c r="J86" i="1"/>
  <c r="AL86" i="1" s="1"/>
  <c r="J87" i="1"/>
  <c r="AL87" i="1" s="1"/>
  <c r="J88" i="1"/>
  <c r="AL88" i="1" s="1"/>
  <c r="J89" i="1"/>
  <c r="AL89" i="1" s="1"/>
  <c r="J90" i="1"/>
  <c r="AL90" i="1" s="1"/>
  <c r="C38" i="4" s="1"/>
  <c r="E38" i="4" s="1"/>
  <c r="F38" i="4" s="1"/>
  <c r="J92" i="1"/>
  <c r="J94" i="1"/>
  <c r="AL94" i="1" s="1"/>
  <c r="C39" i="4" s="1"/>
  <c r="E39" i="4" s="1"/>
  <c r="F39" i="4" s="1"/>
  <c r="J95" i="1"/>
  <c r="AL95" i="1" s="1"/>
  <c r="C40" i="4" s="1"/>
  <c r="E40" i="4" s="1"/>
  <c r="F40" i="4" s="1"/>
  <c r="C41" i="4"/>
  <c r="E41" i="4" s="1"/>
  <c r="F41" i="4" s="1"/>
  <c r="J98" i="1"/>
  <c r="J99" i="1"/>
  <c r="J100" i="1"/>
  <c r="J101" i="1"/>
  <c r="J102" i="1"/>
  <c r="J103" i="1"/>
  <c r="AL103" i="1" s="1"/>
  <c r="C45" i="4" s="1"/>
  <c r="E45" i="4" s="1"/>
  <c r="F45" i="4" s="1"/>
  <c r="J104" i="1"/>
  <c r="AL104" i="1" s="1"/>
  <c r="C46" i="4" s="1"/>
  <c r="E46" i="4" s="1"/>
  <c r="F46" i="4" s="1"/>
  <c r="J105" i="1"/>
  <c r="J107" i="1"/>
  <c r="AL107" i="1" s="1"/>
  <c r="J108" i="1"/>
  <c r="AL108" i="1" s="1"/>
  <c r="J109" i="1"/>
  <c r="AL109" i="1" s="1"/>
  <c r="J112" i="1"/>
  <c r="AL112" i="1" s="1"/>
  <c r="J114" i="1"/>
  <c r="AL114" i="1" s="1"/>
  <c r="J115" i="1"/>
  <c r="AL115" i="1" s="1"/>
  <c r="J116" i="1"/>
  <c r="C52" i="4"/>
  <c r="E52" i="4" s="1"/>
  <c r="F52" i="4" s="1"/>
  <c r="C53" i="4"/>
  <c r="E53" i="4" s="1"/>
  <c r="F53" i="4" s="1"/>
  <c r="J117" i="1"/>
  <c r="AL117" i="1" s="1"/>
  <c r="C54" i="4" s="1"/>
  <c r="E54" i="4" s="1"/>
  <c r="F54" i="4" s="1"/>
  <c r="J121" i="1"/>
  <c r="AL121" i="1" s="1"/>
  <c r="J122" i="1"/>
  <c r="J123" i="1"/>
  <c r="J124" i="1"/>
  <c r="AL124" i="1" s="1"/>
  <c r="C56" i="4" s="1"/>
  <c r="E56" i="4" s="1"/>
  <c r="F56" i="4" s="1"/>
  <c r="J125" i="1"/>
  <c r="AL125" i="1" s="1"/>
  <c r="C57" i="4" s="1"/>
  <c r="E57" i="4" s="1"/>
  <c r="F57" i="4" s="1"/>
  <c r="J126" i="1"/>
  <c r="AL126" i="1" s="1"/>
  <c r="C58" i="4" s="1"/>
  <c r="E58" i="4" s="1"/>
  <c r="F58" i="4" s="1"/>
  <c r="J127" i="1"/>
  <c r="J128" i="1"/>
  <c r="AL128" i="1" s="1"/>
  <c r="C59" i="4" s="1"/>
  <c r="E59" i="4" s="1"/>
  <c r="F59" i="4" s="1"/>
  <c r="J129" i="1"/>
  <c r="J130" i="1"/>
  <c r="J132" i="1"/>
  <c r="AL132" i="1" s="1"/>
  <c r="J134" i="1"/>
  <c r="AL134" i="1" s="1"/>
  <c r="J137" i="1"/>
  <c r="AL137" i="1" s="1"/>
  <c r="C62" i="4" s="1"/>
  <c r="E62" i="4" s="1"/>
  <c r="F62" i="4" s="1"/>
  <c r="J139" i="1"/>
  <c r="J140" i="1"/>
  <c r="AL140" i="1" s="1"/>
  <c r="C64" i="4" s="1"/>
  <c r="E64" i="4" s="1"/>
  <c r="F64" i="4" s="1"/>
  <c r="J142" i="1"/>
  <c r="AL142" i="1" s="1"/>
  <c r="C65" i="4" s="1"/>
  <c r="E65" i="4" s="1"/>
  <c r="F65" i="4" s="1"/>
  <c r="J146" i="1"/>
  <c r="AL146" i="1" s="1"/>
  <c r="C67" i="4" s="1"/>
  <c r="E67" i="4" s="1"/>
  <c r="F67" i="4" s="1"/>
  <c r="J147" i="1"/>
  <c r="J148" i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69" i="1" l="1"/>
  <c r="D167" i="1"/>
  <c r="D168" i="1"/>
  <c r="D166" i="1"/>
  <c r="C37" i="4"/>
  <c r="E37" i="4" s="1"/>
  <c r="F37" i="4" s="1"/>
  <c r="W95" i="2"/>
  <c r="J11" i="1"/>
  <c r="AL11" i="1" s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2" i="1"/>
  <c r="C20" i="4" s="1"/>
  <c r="E20" i="4" s="1"/>
  <c r="F20" i="4" s="1"/>
  <c r="AL10" i="1"/>
  <c r="J10" i="1"/>
  <c r="C66" i="4"/>
  <c r="E66" i="4" s="1"/>
  <c r="F66" i="4" s="1"/>
  <c r="J31" i="1"/>
  <c r="AL31" i="1" s="1"/>
  <c r="C18" i="4" s="1"/>
  <c r="E18" i="4" s="1"/>
  <c r="F18" i="4" s="1"/>
  <c r="J42" i="1"/>
  <c r="J25" i="1"/>
  <c r="AL25" i="1" s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0" i="1" s="1"/>
  <c r="V17" i="2"/>
  <c r="V18" i="2"/>
  <c r="V19" i="2"/>
  <c r="V20" i="2"/>
  <c r="V21" i="2"/>
  <c r="V22" i="2"/>
  <c r="D55" i="1" s="1"/>
  <c r="V23" i="2"/>
  <c r="V24" i="2"/>
  <c r="V25" i="2"/>
  <c r="V26" i="2"/>
  <c r="V27" i="2"/>
  <c r="V28" i="2"/>
  <c r="D71" i="1" s="1"/>
  <c r="V29" i="2"/>
  <c r="V30" i="2"/>
  <c r="D75" i="1" s="1"/>
  <c r="V31" i="2"/>
  <c r="V32" i="2"/>
  <c r="V33" i="2"/>
  <c r="V34" i="2"/>
  <c r="V35" i="2"/>
  <c r="V36" i="2"/>
  <c r="V37" i="2"/>
  <c r="V38" i="2"/>
  <c r="D95" i="1" s="1"/>
  <c r="V40" i="2"/>
  <c r="V41" i="2"/>
  <c r="V42" i="2"/>
  <c r="D103" i="1" s="1"/>
  <c r="V43" i="2"/>
  <c r="D104" i="1" s="1"/>
  <c r="V44" i="2"/>
  <c r="D105" i="1" s="1"/>
  <c r="V45" i="2"/>
  <c r="V46" i="2"/>
  <c r="V47" i="2"/>
  <c r="V48" i="2"/>
  <c r="D116" i="1" s="1"/>
  <c r="V49" i="2"/>
  <c r="V50" i="2"/>
  <c r="V51" i="2"/>
  <c r="V52" i="2"/>
  <c r="D125" i="1" s="1"/>
  <c r="V53" i="2"/>
  <c r="D126" i="1" s="1"/>
  <c r="V54" i="2"/>
  <c r="V55" i="2"/>
  <c r="V56" i="2"/>
  <c r="V57" i="2"/>
  <c r="V58" i="2"/>
  <c r="D139" i="1" s="1"/>
  <c r="V59" i="2"/>
  <c r="V60" i="2"/>
  <c r="V62" i="2"/>
  <c r="W9" i="2"/>
  <c r="W10" i="2"/>
  <c r="W22" i="2"/>
  <c r="W36" i="2"/>
  <c r="W38" i="2"/>
  <c r="W43" i="2"/>
  <c r="W44" i="2"/>
  <c r="D130" i="1" l="1"/>
  <c r="D131" i="1"/>
  <c r="D41" i="1"/>
  <c r="D40" i="1"/>
  <c r="D39" i="1"/>
  <c r="D38" i="1"/>
  <c r="D132" i="1"/>
  <c r="D134" i="1"/>
  <c r="D133" i="1"/>
  <c r="D127" i="1"/>
  <c r="D129" i="1"/>
  <c r="D128" i="1"/>
  <c r="D113" i="1"/>
  <c r="D112" i="1"/>
  <c r="D92" i="1"/>
  <c r="D94" i="1"/>
  <c r="D93" i="1"/>
  <c r="D72" i="1"/>
  <c r="D74" i="1"/>
  <c r="D73" i="1"/>
  <c r="D54" i="1"/>
  <c r="D53" i="1"/>
  <c r="D26" i="1"/>
  <c r="D25" i="1"/>
  <c r="D8" i="1"/>
  <c r="D7" i="1"/>
  <c r="D10" i="1"/>
  <c r="D9" i="1"/>
  <c r="D11" i="1"/>
  <c r="D111" i="1"/>
  <c r="D110" i="1"/>
  <c r="D108" i="1"/>
  <c r="D107" i="1"/>
  <c r="D106" i="1"/>
  <c r="D109" i="1"/>
  <c r="D91" i="1"/>
  <c r="D90" i="1"/>
  <c r="D49" i="1"/>
  <c r="D48" i="1"/>
  <c r="D24" i="1"/>
  <c r="D23" i="1"/>
  <c r="D6" i="1"/>
  <c r="D4" i="1"/>
  <c r="D138" i="1"/>
  <c r="D137" i="1"/>
  <c r="D118" i="1"/>
  <c r="D117" i="1"/>
  <c r="D102" i="1"/>
  <c r="D101" i="1"/>
  <c r="D100" i="1"/>
  <c r="D79" i="1"/>
  <c r="D81" i="1"/>
  <c r="D80" i="1"/>
  <c r="D59" i="1"/>
  <c r="D58" i="1"/>
  <c r="D16" i="1"/>
  <c r="D14" i="1"/>
  <c r="D152" i="1"/>
  <c r="D151" i="1"/>
  <c r="D147" i="1"/>
  <c r="D148" i="1"/>
  <c r="D150" i="1"/>
  <c r="D146" i="1"/>
  <c r="D149" i="1"/>
  <c r="D145" i="1"/>
  <c r="D143" i="1"/>
  <c r="D142" i="1"/>
  <c r="D144" i="1"/>
  <c r="D89" i="1"/>
  <c r="D87" i="1"/>
  <c r="D88" i="1"/>
  <c r="D86" i="1"/>
  <c r="D68" i="1"/>
  <c r="D70" i="1"/>
  <c r="D69" i="1"/>
  <c r="D45" i="1"/>
  <c r="D44" i="1"/>
  <c r="D47" i="1"/>
  <c r="D43" i="1"/>
  <c r="D46" i="1"/>
  <c r="D42" i="1"/>
  <c r="D3" i="1"/>
  <c r="D2" i="1"/>
  <c r="D140" i="1"/>
  <c r="D141" i="1"/>
  <c r="D123" i="1"/>
  <c r="D124" i="1"/>
  <c r="D66" i="1"/>
  <c r="D67" i="1"/>
  <c r="D65" i="1"/>
  <c r="D64" i="1"/>
  <c r="D37" i="1"/>
  <c r="D35" i="1"/>
  <c r="D99" i="1"/>
  <c r="D98" i="1"/>
  <c r="D78" i="1"/>
  <c r="D76" i="1"/>
  <c r="D77" i="1"/>
  <c r="D56" i="1"/>
  <c r="D57" i="1"/>
  <c r="D122" i="1"/>
  <c r="D119" i="1"/>
  <c r="D120" i="1"/>
  <c r="D121" i="1"/>
  <c r="D83" i="1"/>
  <c r="D82" i="1"/>
  <c r="D63" i="1"/>
  <c r="D62" i="1"/>
  <c r="D60" i="1"/>
  <c r="D61" i="1"/>
  <c r="D32" i="1"/>
  <c r="D31" i="1"/>
  <c r="D34" i="1"/>
  <c r="D33" i="1"/>
  <c r="D18" i="1"/>
  <c r="D17" i="1"/>
  <c r="D115" i="1"/>
  <c r="D114" i="1"/>
  <c r="D21" i="1"/>
  <c r="D22" i="1"/>
  <c r="D84" i="1"/>
  <c r="D85" i="1"/>
  <c r="D28" i="1"/>
  <c r="D27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8" i="1" l="1"/>
  <c r="C15" i="4" s="1"/>
  <c r="E15" i="4" s="1"/>
  <c r="F15" i="4" s="1"/>
  <c r="AL68" i="1"/>
  <c r="C28" i="4" s="1"/>
  <c r="E28" i="4" s="1"/>
  <c r="F28" i="4" s="1"/>
  <c r="J119" i="1"/>
  <c r="AL119" i="1"/>
  <c r="C55" i="4" s="1"/>
  <c r="E55" i="4" s="1"/>
  <c r="F55" i="4" s="1"/>
  <c r="J64" i="1"/>
  <c r="AL64" i="1"/>
  <c r="C27" i="4" s="1"/>
  <c r="E27" i="4" s="1"/>
  <c r="F27" i="4" s="1"/>
  <c r="J60" i="1"/>
  <c r="AL60" i="1"/>
  <c r="C26" i="4" s="1"/>
  <c r="E26" i="4" s="1"/>
  <c r="F26" i="4" s="1"/>
  <c r="AL72" i="1"/>
  <c r="C30" i="4" s="1"/>
  <c r="E30" i="4" s="1"/>
  <c r="F30" i="4" s="1"/>
  <c r="J38" i="1"/>
  <c r="J68" i="1"/>
  <c r="J72" i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J71" i="1"/>
  <c r="AL71" i="1" s="1"/>
  <c r="W28" i="2" l="1"/>
  <c r="W63" i="2"/>
</calcChain>
</file>

<file path=xl/sharedStrings.xml><?xml version="1.0" encoding="utf-8"?>
<sst xmlns="http://schemas.openxmlformats.org/spreadsheetml/2006/main" count="2876" uniqueCount="388">
  <si>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</si>
  <si>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</si>
  <si>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</si>
  <si>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</si>
  <si>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</si>
  <si>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</si>
  <si>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</si>
  <si>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</si>
  <si>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</si>
  <si>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</si>
  <si>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</si>
  <si>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</si>
  <si>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</si>
  <si>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</si>
  <si>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</si>
  <si>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</si>
  <si>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</si>
  <si>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</si>
  <si>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</si>
  <si>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</si>
  <si>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</si>
  <si>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</si>
  <si>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</si>
  <si>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</si>
  <si>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</si>
  <si>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</si>
  <si>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</si>
  <si>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</si>
  <si>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</si>
  <si>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</si>
  <si>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</si>
  <si>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</si>
  <si>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</si>
  <si>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</si>
  <si>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</si>
  <si>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</si>
  <si>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</si>
  <si>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</si>
  <si>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</si>
  <si>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</si>
  <si>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</si>
  <si>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</si>
  <si>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</si>
  <si>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</si>
  <si>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</si>
  <si>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</si>
  <si>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</si>
  <si>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</si>
  <si>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</si>
  <si>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</si>
  <si>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</si>
  <si>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</si>
  <si>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</si>
  <si>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</si>
  <si>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</si>
  <si>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</si>
  <si>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</si>
  <si>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</si>
  <si>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</si>
  <si>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</si>
  <si>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</si>
  <si>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</si>
  <si>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</si>
  <si>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</si>
  <si>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</si>
  <si>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</si>
  <si>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</si>
  <si>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</si>
  <si>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</si>
  <si>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</si>
  <si>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</si>
  <si>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</si>
  <si>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</si>
  <si>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</si>
  <si>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</si>
  <si>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</si>
  <si>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</si>
  <si>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</si>
  <si>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</si>
  <si>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</si>
  <si>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</si>
  <si>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</si>
  <si>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</si>
  <si>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</si>
  <si>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</si>
  <si>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</si>
  <si>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</si>
  <si>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</si>
  <si>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</si>
  <si>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</si>
  <si>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</si>
  <si>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</si>
  <si>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</si>
  <si>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</si>
  <si>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</si>
  <si>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</si>
  <si>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</si>
  <si>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</si>
  <si>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</si>
  <si>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</si>
  <si>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</si>
  <si>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</si>
  <si>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</si>
  <si>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</si>
  <si>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</si>
  <si>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</si>
  <si>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</si>
  <si>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</si>
  <si>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</si>
  <si>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</si>
  <si>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</si>
  <si>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</si>
  <si>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</si>
  <si>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</si>
  <si>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</si>
  <si>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</si>
  <si>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</si>
  <si>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</si>
  <si>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</si>
  <si>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</si>
  <si>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</si>
  <si>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</si>
  <si>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</si>
  <si>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</si>
  <si>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</si>
  <si>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</si>
  <si>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</si>
  <si>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</si>
  <si>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</si>
  <si>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</si>
  <si>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</si>
  <si>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</si>
  <si>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</si>
  <si>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</si>
  <si>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</si>
  <si>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</si>
  <si>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</si>
  <si>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</si>
  <si>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</si>
  <si>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</si>
  <si>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</si>
  <si>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</si>
  <si>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</si>
  <si>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</si>
  <si>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</si>
  <si>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</si>
  <si>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</si>
  <si>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</si>
  <si>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</si>
  <si>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</si>
  <si>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</si>
  <si>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</si>
  <si>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</si>
  <si>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</si>
  <si>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</si>
  <si>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</si>
  <si>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</si>
  <si>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</si>
  <si>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</si>
  <si>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</si>
  <si>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</si>
  <si>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</si>
  <si>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</si>
  <si>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</si>
  <si>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</si>
  <si>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</si>
  <si>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</si>
  <si>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</si>
  <si>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</si>
  <si>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</si>
  <si>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</si>
  <si>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</si>
  <si>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</si>
  <si>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</si>
  <si>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</si>
  <si>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</si>
  <si>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</si>
  <si>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</si>
  <si>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</si>
  <si>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</si>
  <si>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</si>
  <si>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</si>
  <si>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</si>
  <si>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</si>
  <si>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</si>
  <si>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</si>
  <si>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</si>
  <si>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</si>
  <si>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</si>
  <si>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</si>
  <si>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</si>
  <si>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</si>
  <si>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</si>
  <si>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</si>
  <si>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</si>
  <si>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</si>
  <si>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</si>
  <si>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</si>
  <si>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</si>
  <si>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</si>
  <si>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</si>
  <si>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</si>
  <si>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</si>
  <si>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</si>
  <si>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</si>
  <si>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</si>
  <si>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</si>
  <si>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</si>
  <si>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</si>
  <si>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</si>
  <si>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</si>
  <si>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</si>
  <si>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</si>
  <si>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</si>
  <si>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</si>
  <si>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</si>
  <si>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</si>
  <si>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</si>
  <si>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</si>
  <si>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</si>
  <si>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</si>
  <si>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</si>
  <si>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</si>
  <si>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</si>
  <si>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</si>
  <si>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</si>
  <si>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</si>
  <si>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</si>
  <si>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</si>
  <si>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</si>
  <si>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</si>
  <si>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</si>
  <si>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</si>
  <si>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</si>
  <si>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</si>
  <si>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</si>
  <si>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</si>
  <si>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</si>
  <si>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</si>
  <si>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</si>
  <si>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</si>
  <si>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</si>
  <si>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</si>
  <si>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</si>
  <si>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</si>
  <si>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</si>
  <si>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</si>
  <si>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</si>
  <si>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</si>
  <si>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</si>
  <si>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</si>
  <si>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</si>
  <si>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</si>
  <si>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</si>
  <si>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</si>
  <si>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</si>
  <si>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</si>
  <si>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</si>
  <si>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</si>
  <si>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</si>
  <si>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</si>
  <si>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</si>
  <si>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</si>
  <si>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</si>
  <si>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</si>
  <si>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</si>
  <si>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</si>
  <si>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</si>
  <si>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</si>
  <si>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</si>
  <si>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Problem sets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</si>
  <si>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</si>
  <si>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</si>
  <si>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</si>
  <si>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</si>
  <si>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</si>
  <si>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</si>
  <si>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</si>
  <si>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</si>
  <si>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</si>
  <si>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</si>
  <si>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</si>
  <si>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</si>
  <si>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</si>
  <si>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</si>
  <si>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</si>
  <si>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</si>
  <si>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</si>
  <si>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</si>
  <si>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</si>
  <si>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</si>
  <si>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</si>
  <si>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</si>
  <si>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</si>
  <si>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7 of 10)</t>
  </si>
  <si>
    <t>Weekly Quizzes
(best 8 of 10)</t>
  </si>
  <si>
    <t>Semiconductor Fabrication</t>
  </si>
  <si>
    <t>Weekly Tasks (P)</t>
  </si>
  <si>
    <t>Peer assess. (P)</t>
  </si>
  <si>
    <t>Synoptic Refl. (P)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</si>
  <si>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</si>
  <si>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</si>
  <si>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</si>
  <si>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</si>
  <si>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</si>
  <si>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</si>
  <si>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</si>
  <si>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</si>
  <si>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</si>
  <si>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</si>
  <si>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</si>
  <si>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</si>
  <si>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</si>
  <si>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</si>
  <si>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</si>
  <si>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</si>
  <si>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</si>
  <si>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</si>
  <si>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</si>
  <si>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</si>
  <si>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</si>
  <si>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</si>
  <si>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</si>
  <si>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</si>
  <si>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</si>
  <si>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</si>
  <si>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</si>
  <si>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</si>
  <si>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</si>
  <si>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</si>
  <si>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</si>
  <si>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</si>
  <si>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</si>
  <si>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</si>
  <si>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</si>
  <si>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</si>
  <si>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</si>
  <si>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</si>
  <si>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</si>
  <si>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</si>
  <si>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</si>
  <si>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</si>
  <si>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</si>
  <si>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</si>
  <si>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</si>
  <si>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</si>
  <si>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</si>
  <si>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</si>
  <si>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</si>
  <si>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</si>
  <si>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</si>
  <si>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</si>
  <si>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</si>
  <si>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</si>
  <si>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</si>
  <si>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</si>
  <si>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</si>
  <si>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</si>
  <si>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</si>
  <si>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</si>
  <si>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</si>
  <si>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</si>
  <si>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</si>
  <si>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</si>
  <si>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</si>
  <si>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</si>
  <si>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</si>
  <si>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Group Presentation (*)</t>
  </si>
  <si>
    <t>Class Tests (*)
(best 5 of 10)</t>
  </si>
  <si>
    <t>Tu/Fr</t>
  </si>
  <si>
    <t>Spring Exams</t>
  </si>
  <si>
    <t>RP</t>
  </si>
  <si>
    <t>Lab Notebook</t>
  </si>
  <si>
    <t>Lab Diary (P)</t>
  </si>
  <si>
    <t>Quizzes (best 6 of 9)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</si>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</sst>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Fill="1" applyAlignment="1">
      <alignment vertical="center" readingOrder="1"/>
    </xf>
    <xf numFmtId="0" fontId="2" fillId="0" borderId="0" xfId="0" applyNumberFormat="1" applyFont="1" applyFill="1" applyAlignment="1">
      <alignment vertical="center" readingOrder="1"/>
    </xf>
    <xf numFmtId="2" fontId="2" fillId="0" borderId="0" xfId="0" applyNumberFormat="1" applyFont="1" applyFill="1" applyAlignment="1">
      <alignment vertical="center" wrapText="1"/>
    </xf>
    <xf numFmtId="0" fontId="0" fillId="0" borderId="0" xfId="0" applyFill="1"/>
    <xf numFmtId="0" fontId="0" fillId="0" borderId="0" xfId="0" applyNumberFormat="1" applyFill="1"/>
    <xf numFmtId="1" fontId="2" fillId="0" borderId="0" xfId="0" applyNumberFormat="1" applyFont="1" applyFill="1" applyAlignment="1">
      <alignment vertical="center" wrapText="1"/>
    </xf>
  </cellXfs>
  <cellStyles count="1">
    <cellStyle name="Normal" xfId="0" builtinId="0"/>
  </cellStyles>
  <dxfs count="12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f-my.sharepoint.com/personal/northce_cardiff_ac_uk/Documents/Documents/Cardiff/DUGS/Assessments/Schedule%20Modelling/AssessmentSchedule_2526_v2.xlsx" TargetMode="External"/><Relationship Id="rId1" Type="http://schemas.openxmlformats.org/officeDocument/2006/relationships/externalLinkPath" Target="AssessmentSchedule_2526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essments"/>
      <sheetName val="ContactTime"/>
      <sheetName val="Modules"/>
      <sheetName val="Sheet2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7" totalsRowShown="0" headerRowDxfId="100" dataDxfId="98" headerRowBorderDxfId="99" tableBorderDxfId="97" totalsRowBorderDxfId="96">
  <autoFilter ref="A1:AL177" xr:uid="{FA69A777-C149-48BD-B248-35F32F0AC920}"/>
  <sortState xmlns:xlrd2="http://schemas.microsoft.com/office/spreadsheetml/2017/richdata2" ref="A2:AI148">
    <sortCondition ref="A1:A148"/>
  </sortState>
  <tableColumns count="38">
    <tableColumn id="1" xr3:uid="{7078548A-F011-4851-AB36-1F04238FA2FE}" name="Module Code" dataDxfId="95"/>
    <tableColumn id="2" xr3:uid="{D2290F36-B8B3-427A-AEFE-45FD22901411}" name="Module Title" dataDxfId="94"/>
    <tableColumn id="3" xr3:uid="{31165455-2AA3-4532-A0A0-C942837C0F79}" name="CA type" dataDxfId="93"/>
    <tableColumn id="33" xr3:uid="{B83E0E3E-2B28-42F1-BC64-5D7177EC4229}" name="CA Weight" dataDxfId="92">
      <calculatedColumnFormula>INDEX([1]!Table2[CA weight],MATCH([1]!Table1[[#This Row],[Module Code]],[1]!Table2[Module Code],0))</calculatedColumnFormula>
    </tableColumn>
    <tableColumn id="34" xr3:uid="{AEA2048C-138D-450A-BE52-3FCBDE03C67D}" name="Credits" dataDxfId="91">
      <calculatedColumnFormula>INDEX([1]!Table2[Credits],MATCH([1]!Table1[[#This Row],[Module Code]],[1]!Table2[Module Code],0))</calculatedColumnFormula>
    </tableColumn>
    <tableColumn id="30" xr3:uid="{82DD5B5B-C808-4E6E-849C-7A03DC6D0B69}" name="Description" dataDxfId="90"/>
    <tableColumn id="36" xr3:uid="{A7BF30F6-C808-4B8F-B3FF-9FAF20E2145A}" name="Summative" dataDxfId="89"/>
    <tableColumn id="37" xr3:uid="{68E504F9-116C-43AB-BCC6-3BB48B0860D2}" name="Day of Week" dataDxfId="88"/>
    <tableColumn id="16" xr3:uid="{E6637FEB-7F23-45F0-99D2-96D20DD2DAEF}" name="Duration" dataDxfId="87"/>
    <tableColumn id="31" xr3:uid="{FD1E9614-3960-4F72-BD42-711A4CC7BBA0}" name="Nominal Hours" dataDxfId="86">
      <calculatedColumnFormula>AVERAGE(Table1[[#This Row],[Autumn Week 1]:[Spring Week 12]])*4*Table1[[#This Row],[Credits]]</calculatedColumnFormula>
    </tableColumn>
    <tableColumn id="32" xr3:uid="{E11C773A-511F-4D25-8636-C56C5B61ED90}" name="Hours" dataDxfId="85"/>
    <tableColumn id="4" xr3:uid="{04E38F13-8347-412C-866C-6EFE6796253C}" name="Autumn Week 1" dataDxfId="84"/>
    <tableColumn id="5" xr3:uid="{254D6A24-FC1B-44C7-A3DF-52DA2A250D31}" name="Autumn Week 2" dataDxfId="83"/>
    <tableColumn id="6" xr3:uid="{9EB326C3-772E-4E56-89FB-BA3A00291293}" name="Autumn Week 3" dataDxfId="82"/>
    <tableColumn id="7" xr3:uid="{94BC6C78-5A89-4267-B1C1-BFA70E5A9F34}" name="Autumn Week 4" dataDxfId="81"/>
    <tableColumn id="8" xr3:uid="{CF3B6389-B559-4FE3-8B33-FEDB303382B1}" name="Autumn Week 5" dataDxfId="80"/>
    <tableColumn id="9" xr3:uid="{8DD80B9C-D1B1-4CDE-A624-4CD3A15113DD}" name="Autumn Week 6" dataDxfId="79"/>
    <tableColumn id="10" xr3:uid="{8C4EBEE4-01CB-4AD0-B594-F466CC36D370}" name="Autumn Week 7" dataDxfId="78"/>
    <tableColumn id="11" xr3:uid="{7F8C91DE-BE61-47CF-A916-D06ED7B283E9}" name="Autumn Week 8" dataDxfId="77"/>
    <tableColumn id="12" xr3:uid="{9D58139A-0F96-4203-8D22-58BC34744B87}" name="Autumn Week 9" dataDxfId="76"/>
    <tableColumn id="13" xr3:uid="{43C545DF-9B9E-4080-8012-F9EFA0F01283}" name="Autumn Week 10" dataDxfId="75"/>
    <tableColumn id="14" xr3:uid="{829AB976-2AB2-435C-8F11-DE08DACA4407}" name="Autumn Week 11" dataDxfId="74"/>
    <tableColumn id="15" xr3:uid="{9126A0EA-FC34-4876-9D56-A0AC39C5526C}" name="Autumn Week 12" dataDxfId="73"/>
    <tableColumn id="17" xr3:uid="{15B891EE-FCC8-4E53-A90D-3E10FFC1E9FA}" name="Spring Week 1" dataDxfId="72"/>
    <tableColumn id="18" xr3:uid="{464CA212-3B53-4678-AFE4-8AF8308C1986}" name="Spring Week 2" dataDxfId="71"/>
    <tableColumn id="19" xr3:uid="{B560E823-CC29-418C-B26C-52D9FFC8C72E}" name="Spring Week 3" dataDxfId="70"/>
    <tableColumn id="20" xr3:uid="{D95606F3-E0A0-4907-91E0-4AD09D0C65CB}" name="Spring Week 4" dataDxfId="69"/>
    <tableColumn id="21" xr3:uid="{E71FF892-9A4B-444C-8972-62D92F81B0E7}" name="Spring Week 5" dataDxfId="68"/>
    <tableColumn id="22" xr3:uid="{C7775BA8-178A-4501-A8DE-2B2CF77A2451}" name="Spring Week 6" dataDxfId="67"/>
    <tableColumn id="23" xr3:uid="{51A89A97-F839-4F50-88A9-65049D65C9B0}" name="Spring Week 7" dataDxfId="66"/>
    <tableColumn id="24" xr3:uid="{26EE6D10-4FC4-49AE-8DE6-18AC556C293D}" name="Spring Week 8" dataDxfId="65"/>
    <tableColumn id="25" xr3:uid="{FCB1B9FB-21DA-415A-86E6-C8E14F864E1B}" name="Spring Week 9" dataDxfId="64"/>
    <tableColumn id="26" xr3:uid="{54402AE1-DC77-41BA-BCC7-28BCA7186B44}" name="Spring Week 10" dataDxfId="63"/>
    <tableColumn id="27" xr3:uid="{31C092D1-BD77-4126-8E72-8E74D0D11509}" name="Spring Week 11" dataDxfId="62"/>
    <tableColumn id="28" xr3:uid="{56D67770-E36A-46FE-97FA-76CD24229C51}" name="Spring Week 12" dataDxfId="61"/>
    <tableColumn id="38" xr3:uid="{29E08DCE-0D92-40C5-8F33-F1B96FB2F7A4}" name="Spring Exams" dataDxfId="60"/>
    <tableColumn id="29" xr3:uid="{785AD842-5ED0-4E27-B4B7-26E6FF9AC266}" name="Sub-total" dataDxfId="22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59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58" dataDxfId="56" headerRowBorderDxfId="57" tableBorderDxfId="55" totalsRowBorderDxfId="54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3"/>
    <tableColumn id="2" xr3:uid="{DE2920B2-70AC-48F3-99E7-07B70BC1E928}" name="Module Title" dataDxfId="52"/>
    <tableColumn id="3" xr3:uid="{61946E7A-4C82-425B-89A6-3DBD530FCD55}" name="Contact type" dataDxfId="51"/>
    <tableColumn id="34" xr3:uid="{55A68E2B-9324-4E9E-9629-6611EC7C904E}" name="Credits" dataDxfId="50">
      <calculatedColumnFormula>INDEX(Table2[Credits],MATCH(Table14[[#This Row],[Module Code]],Table2[Module Code],0))</calculatedColumnFormula>
    </tableColumn>
    <tableColumn id="30" xr3:uid="{9C4C2C35-CE5A-4469-93FA-21FC6F57EDAD}" name="Semester" dataDxfId="49">
      <calculatedColumnFormula>INDEX(Table2[Semester],MATCH(Table14[[#This Row],[Module Code]],Table2[Module Code],0))</calculatedColumnFormula>
    </tableColumn>
    <tableColumn id="31" xr3:uid="{A7B09E14-0C35-459D-A9D0-5143D8AFFE4E}" name="Nominal Hours" dataDxfId="48">
      <calculatedColumnFormula>INDEX(Table2[Contact Time],MATCH(Table14[[#This Row],[Module Code]],Table2[Module Code],0))</calculatedColumnFormula>
    </tableColumn>
    <tableColumn id="4" xr3:uid="{503822B3-8862-4FCD-9DD3-3B52F57A97BE}" name="Autumn Week 1" dataDxfId="47"/>
    <tableColumn id="5" xr3:uid="{760391D0-3219-4B11-8E3D-3E00EEDFA9DD}" name="Autumn Week 2" dataDxfId="46"/>
    <tableColumn id="6" xr3:uid="{6EE5E3E9-C4FB-49BE-932C-B84EA0A7970D}" name="Autumn Week 3" dataDxfId="45"/>
    <tableColumn id="7" xr3:uid="{2C7AD515-480E-49A6-8076-95205ACF95EC}" name="Autumn Week 4" dataDxfId="44"/>
    <tableColumn id="8" xr3:uid="{6FD8C5C6-433E-493B-BB28-5ADD15CFC7FB}" name="Autumn Week 5" dataDxfId="43"/>
    <tableColumn id="9" xr3:uid="{801E6BE2-75F8-40A5-A263-0AAEFDAA63E7}" name="Autumn Week 6" dataDxfId="42"/>
    <tableColumn id="10" xr3:uid="{976D463A-C6BC-4636-B732-53E6CDF3F6C7}" name="Autumn Week 7" dataDxfId="41"/>
    <tableColumn id="11" xr3:uid="{D025F987-6302-4D7B-9A9A-636F867D1872}" name="Autumn Week 8" dataDxfId="40"/>
    <tableColumn id="12" xr3:uid="{D30D10EE-2DE5-4659-AA67-2134D11D6119}" name="Autumn Week 9" dataDxfId="39"/>
    <tableColumn id="13" xr3:uid="{35E8F713-2D13-47B7-9811-293DA89F0D62}" name="Autumn Week 10" dataDxfId="38"/>
    <tableColumn id="14" xr3:uid="{5DD48606-F817-4B30-8BA1-A96457CBB489}" name="Autumn Week 11" dataDxfId="37"/>
    <tableColumn id="15" xr3:uid="{9B982ED1-A4C5-4E87-99AB-70713F2B634E}" name="Autumn Week 12" dataDxfId="36"/>
    <tableColumn id="17" xr3:uid="{3AFDFF11-D351-428A-AC16-E674EB9DD7CC}" name="Spring Week 1" dataDxfId="35"/>
    <tableColumn id="18" xr3:uid="{1431E9F9-328E-4229-9377-39D94C660D67}" name="Spring Week 2" dataDxfId="34"/>
    <tableColumn id="19" xr3:uid="{8E1051DB-2A93-4ABA-8317-8F9921CF483D}" name="Spring Week 3" dataDxfId="33"/>
    <tableColumn id="20" xr3:uid="{98B745E4-C481-42FF-9D3B-0D0899BD3DB6}" name="Spring Week 4" dataDxfId="32"/>
    <tableColumn id="21" xr3:uid="{2FC9B562-4622-444D-9372-5637BFE48E0A}" name="Spring Week 5" dataDxfId="31"/>
    <tableColumn id="22" xr3:uid="{95778D77-82F1-4B00-8FED-6FEB2BF83C3D}" name="Spring Week 6" dataDxfId="30"/>
    <tableColumn id="23" xr3:uid="{9A49A64C-9A09-47A0-BC65-A8C1C98DACA3}" name="Spring Week 7" dataDxfId="29"/>
    <tableColumn id="24" xr3:uid="{191AACBA-3CF0-48E5-B522-FCD2CCE9AC99}" name="Spring Week 8" dataDxfId="28"/>
    <tableColumn id="25" xr3:uid="{DC35B6C1-904B-4E6A-A04F-ADF850A50D85}" name="Spring Week 9" dataDxfId="27"/>
    <tableColumn id="26" xr3:uid="{BEB9E86A-57BF-4A1E-A499-BADB9EAD1DE9}" name="Spring Week 10" dataDxfId="26"/>
    <tableColumn id="27" xr3:uid="{D640FB81-F093-4E3F-B7A1-6995DDDD6305}" name="Spring Week 11" dataDxfId="25"/>
    <tableColumn id="28" xr3:uid="{496FDC17-F0F2-4381-96DA-177DC578A786}" name="Spring Week 12" dataDxfId="24"/>
    <tableColumn id="32" xr3:uid="{65BCC67A-5DC9-4957-BB42-BCF5FCA71B17}" name="Total" dataDxfId="23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119" dataDxfId="117" headerRowBorderDxfId="118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116"/>
    <tableColumn id="2" xr3:uid="{D3F20037-EF35-4207-A530-484E1EB45719}" name="Module Title" dataDxfId="115"/>
    <tableColumn id="9" xr3:uid="{40C22022-10B9-411F-9B76-B89140ABFFB2}" name="Alternative Module Code" dataDxfId="114"/>
    <tableColumn id="13" xr3:uid="{CB12E405-1802-457C-AF17-F1B9CB3BBF13}" name="Source" dataDxfId="113"/>
    <tableColumn id="8" xr3:uid="{EA737976-1AA7-49B6-8752-A388621554F4}" name="Semester" dataDxfId="112"/>
    <tableColumn id="6" xr3:uid="{16DFC84F-5858-467D-B447-49992D721E4B}" name="Level" dataDxfId="111"/>
    <tableColumn id="5" xr3:uid="{A17BC4BA-A3CB-442D-9BDC-D3B41B98B389}" name="Credits" dataDxfId="110"/>
    <tableColumn id="19" xr3:uid="{98846C13-E462-4CFF-858E-AF75931B6712}" name="AllUG" dataDxfId="109"/>
    <tableColumn id="3" xr3:uid="{7E25B4F4-1A7D-48D9-AAA2-AF5C97240797}" name="Physics" dataDxfId="108"/>
    <tableColumn id="17" xr3:uid="{AA3AE96F-2651-49D7-89AD-BA94806438AE}" name="PhysAstro"/>
    <tableColumn id="4" xr3:uid="{9C7DD469-E550-411F-8467-246A1543FB38}" name="Astro" dataDxfId="107"/>
    <tableColumn id="7" xr3:uid="{3C5D3AEB-487E-4678-A42F-BE4BA4D0E9AA}" name="MedPhys" dataDxfId="106"/>
    <tableColumn id="20" xr3:uid="{C3673B06-C0A2-44F6-8978-F392282CECF8}" name="AllPG"/>
    <tableColumn id="14" xr3:uid="{AE552873-9B31-41A6-B73C-D052477CA74C}" name="MScPhysics" dataDxfId="105"/>
    <tableColumn id="15" xr3:uid="{8F51CE76-3A29-487A-A13C-FB63C79CF3E6}" name="MScAstro" dataDxfId="104"/>
    <tableColumn id="21" xr3:uid="{FC74E264-78AB-4682-A1B8-D8964ED1C3F3}" name="MScDataPhys" dataDxfId="14"/>
    <tableColumn id="22" xr3:uid="{2D5776F7-D7F7-4D20-A7CB-DB57997AD074}" name="MScDataAstro" dataDxfId="13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03"/>
    <tableColumn id="12" xr3:uid="{537B7C75-E9C0-42F2-9F3C-6E960AB2D257}" name="CA weight" dataDxfId="102">
      <calculatedColumnFormula>100-Table2[[#This Row],[Exam Weight (%)]]</calculatedColumnFormula>
    </tableColumn>
    <tableColumn id="11" xr3:uid="{75DA2527-5A08-4ECE-B4E4-752A8F8BF059}" name="CA Check" dataDxfId="101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7"/>
  <sheetViews>
    <sheetView zoomScale="70" zoomScaleNormal="70" workbookViewId="0">
      <pane xSplit="2" ySplit="1" topLeftCell="C150" activePane="bottomRight" state="frozen"/>
      <selection pane="topRight" activeCell="C1" sqref="C1"/>
      <selection pane="bottomLeft" activeCell="A2" sqref="A2"/>
      <selection pane="bottomRight" activeCell="AK3" sqref="AK3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08984375" style="14" customWidth="1"/>
    <col min="24" max="36" width="9.089843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337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370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351</v>
      </c>
      <c r="I2" s="11">
        <v>1</v>
      </c>
      <c r="J2" s="11">
        <f>AVERAGE(Table1[[#This Row],[Autumn Week 1]:[Spring Week 12]])*4*Table1[[#This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350</v>
      </c>
      <c r="G3" s="11" t="s">
        <v>229</v>
      </c>
      <c r="H3" s="11" t="s">
        <v>305</v>
      </c>
      <c r="I3" s="11">
        <v>4</v>
      </c>
      <c r="J3" s="11">
        <f>AVERAGE(Table1[[#This Row],[Autumn Week 1]:[Spring Week 12]])*4*Table1[[#This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351</v>
      </c>
      <c r="I4" s="11">
        <v>3</v>
      </c>
      <c r="J4" s="11">
        <f>AVERAGE(Table1[[#This Row],[Autumn Week 1]:[Spring Week 12]])*4*Table1[[#This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INDEX([1]!Table2[CA weight],MATCH([1]!Table1[[#This Row],[Module Code]],[1]!Table2[Module Code],0))</f>
        <v>40</v>
      </c>
      <c r="E5" s="29">
        <f>INDEX([1]!Table2[Credits],MATCH([1]!Table1[[#This Row],[Module Code]],[1]!Table2[Module Code],0))</f>
        <v>20</v>
      </c>
      <c r="F5" s="11" t="s">
        <v>254</v>
      </c>
      <c r="G5" s="11" t="s">
        <v>220</v>
      </c>
      <c r="H5" s="11" t="s">
        <v>305</v>
      </c>
      <c r="I5" s="11">
        <v>1</v>
      </c>
      <c r="J5" s="11">
        <f>AVERAGE(Table1[[#This Row],[Autumn Week 1]:[Spring Week 12]])*4*Table1[[#This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282</v>
      </c>
      <c r="G6" s="11" t="s">
        <v>229</v>
      </c>
      <c r="H6" s="11" t="s">
        <v>305</v>
      </c>
      <c r="I6" s="11">
        <v>1</v>
      </c>
      <c r="J6" s="11">
        <f>AVERAGE(Table1[[#This Row],[Autumn Week 1]:[Spring Week 12]])*4*Table1[[#This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305</v>
      </c>
      <c r="I7" s="11">
        <v>2</v>
      </c>
      <c r="J7" s="11">
        <f>AVERAGE(Table1[[#This Row],[Autumn Week 1]:[Spring Week 12]])*4*Table1[[#This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352</v>
      </c>
      <c r="I8" s="11">
        <v>3</v>
      </c>
      <c r="J8" s="11">
        <f>AVERAGE(Table1[[#This Row],[Autumn Week 1]:[Spring Week 12]])*4*Table1[[#This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346</v>
      </c>
      <c r="G9" s="11" t="s">
        <v>220</v>
      </c>
      <c r="H9" s="11" t="s">
        <v>354</v>
      </c>
      <c r="I9" s="11">
        <v>1</v>
      </c>
      <c r="J9" s="11">
        <f>AVERAGE(Table1[[#This Row],[Autumn Week 1]:[Spring Week 12]])*4*Table1[[#This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348</v>
      </c>
      <c r="G10" s="11" t="s">
        <v>229</v>
      </c>
      <c r="H10" s="11" t="s">
        <v>354</v>
      </c>
      <c r="I10" s="11">
        <v>2</v>
      </c>
      <c r="J10" s="11">
        <f>AVERAGE(Table1[[#This Row],[Autumn Week 1]:[Spring Week 12]])*4*Table1[[#This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353</v>
      </c>
      <c r="G11" s="11" t="s">
        <v>229</v>
      </c>
      <c r="H11" s="11" t="s">
        <v>354</v>
      </c>
      <c r="I11" s="11">
        <v>1</v>
      </c>
      <c r="J11" s="11">
        <f>AVERAGE(Table1[[#This Row],[Autumn Week 1]:[Spring Week 12]])*4*Table1[[#This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INDEX([1]!Table2[CA weight],MATCH([1]!Table1[[#This Row],[Module Code]],[1]!Table2[Module Code],0))</f>
        <v>100</v>
      </c>
      <c r="E12" s="29">
        <f>INDEX([1]!Table2[Credits],MATCH([1]!Table1[[#This Row],[Module Code]],[1]!Table2[Module Code],0))</f>
        <v>20</v>
      </c>
      <c r="F12" s="11" t="s">
        <v>205</v>
      </c>
      <c r="G12" s="11" t="s">
        <v>229</v>
      </c>
      <c r="H12" s="11" t="s">
        <v>305</v>
      </c>
      <c r="I12" s="11">
        <v>3</v>
      </c>
      <c r="J12" s="11">
        <f>AVERAGE(Table1[[#This Row],[Autumn Week 1]:[Spring Week 12]])*4*Table1[[#This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295</v>
      </c>
      <c r="G13" s="11" t="s">
        <v>229</v>
      </c>
      <c r="H13" s="11" t="s">
        <v>305</v>
      </c>
      <c r="I13" s="11">
        <v>2</v>
      </c>
      <c r="J13" s="11">
        <f>AVERAGE(Table1[[#This Row],[Autumn Week 1]:[Spring Week 12]])*4*Table1[[#This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369</v>
      </c>
      <c r="I14" s="11">
        <v>1</v>
      </c>
      <c r="J14" s="11">
        <f>AVERAGE(Table1[[#This Row],[Autumn Week 1]:[Spring Week 12]])*4*Table1[[#This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INDEX([1]!Table2[CA weight],MATCH([1]!Table1[[#This Row],[Module Code]],[1]!Table2[Module Code],0))</f>
        <v>100</v>
      </c>
      <c r="E15" s="29">
        <f>INDEX([1]!Table2[Credits],MATCH([1]!Table1[[#This Row],[Module Code]],[1]!Table2[Module Code],0))</f>
        <v>10</v>
      </c>
      <c r="F15" s="11" t="s">
        <v>355</v>
      </c>
      <c r="G15" s="11" t="s">
        <v>229</v>
      </c>
      <c r="H15" s="11" t="s">
        <v>311</v>
      </c>
      <c r="I15" s="11">
        <v>3</v>
      </c>
      <c r="J15" s="11">
        <f>AVERAGE(Table1[[#This Row],[Autumn Week 1]:[Spring Week 12]])*4*Table1[[#This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356</v>
      </c>
      <c r="G16" s="11" t="s">
        <v>229</v>
      </c>
      <c r="H16" s="11" t="s">
        <v>359</v>
      </c>
      <c r="I16" s="11">
        <v>2</v>
      </c>
      <c r="J16" s="11">
        <f>AVERAGE(Table1[[#This Row],[Autumn Week 1]:[Spring Week 12]])*4*Table1[[#This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AVERAGE(Table1[[#This Row],[Autumn Week 1]:[Spring Week 12]])*4*Table1[[#This Row],[Credits]]</f>
        <v>0.53333333333333333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>
        <v>0.02</v>
      </c>
      <c r="AC17" s="20">
        <v>-0.02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359</v>
      </c>
      <c r="I18" s="11">
        <v>4</v>
      </c>
      <c r="J18" s="11">
        <f>AVERAGE(Table1[[#This Row],[Autumn Week 1]:[Spring Week 12]])*4*Table1[[#This Row],[Credits]]</f>
        <v>0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-0.1</v>
      </c>
      <c r="AC18" s="20">
        <v>0.1</v>
      </c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0</v>
      </c>
    </row>
    <row r="19" spans="1:38">
      <c r="A19" s="3" t="s">
        <v>83</v>
      </c>
      <c r="B19" s="3" t="s">
        <v>79</v>
      </c>
      <c r="C19" s="12" t="s">
        <v>5</v>
      </c>
      <c r="D19" s="29">
        <f>INDEX([1]!Table2[CA weight],MATCH([1]!Table1[[#This Row],[Module Code]],[1]!Table2[Module Code],0))</f>
        <v>30</v>
      </c>
      <c r="E19" s="29">
        <f>INDEX([1]!Table2[Credits],MATCH([1]!Table1[[#This Row],[Module Code]],[1]!Table2[Module Code],0))</f>
        <v>10</v>
      </c>
      <c r="F19" s="12" t="s">
        <v>357</v>
      </c>
      <c r="G19" s="11" t="s">
        <v>229</v>
      </c>
      <c r="H19" s="11" t="s">
        <v>359</v>
      </c>
      <c r="I19" s="11">
        <v>4</v>
      </c>
      <c r="J19" s="11">
        <f>AVERAGE(Table1[[#This Row],[Autumn Week 1]:[Spring Week 12]])*4*Table1[[#This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305</v>
      </c>
      <c r="I20" s="11">
        <v>2</v>
      </c>
      <c r="J20" s="11">
        <f>AVERAGE(Table1[[#This Row],[Autumn Week 1]:[Spring Week 12]])*4*Table1[[#This Row],[Credits]]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0.1</v>
      </c>
      <c r="AC20" s="20"/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311</v>
      </c>
      <c r="I21" s="11">
        <v>6</v>
      </c>
      <c r="J21" s="11">
        <f>AVERAGE(Table1[[#This Row],[Autumn Week 1]:[Spring Week 12]])*4*Table1[[#This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305</v>
      </c>
      <c r="I22" s="11">
        <v>6</v>
      </c>
      <c r="J22" s="11">
        <f>AVERAGE(Table1[[#This Row],[Autumn Week 1]:[Spring Week 12]])*4*Table1[[#This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294</v>
      </c>
      <c r="G23" s="11" t="s">
        <v>229</v>
      </c>
      <c r="H23" s="11" t="s">
        <v>359</v>
      </c>
      <c r="I23" s="11">
        <v>1</v>
      </c>
      <c r="J23" s="11">
        <f>AVERAGE(Table1[[#This Row],[Autumn Week 1]:[Spring Week 12]])*4*Table1[[#This Row],[Credits]]</f>
        <v>0.79999999999999982</v>
      </c>
      <c r="K23" s="11">
        <v>0.5</v>
      </c>
      <c r="L23" s="18"/>
      <c r="M23" s="18">
        <v>0.01</v>
      </c>
      <c r="N23" s="18">
        <v>0.01</v>
      </c>
      <c r="O23" s="19">
        <v>0.01</v>
      </c>
      <c r="P23" s="18">
        <v>0.01</v>
      </c>
      <c r="Q23" s="18">
        <v>0.01</v>
      </c>
      <c r="R23" s="18">
        <v>0.01</v>
      </c>
      <c r="S23" s="19">
        <v>0.01</v>
      </c>
      <c r="T23" s="18">
        <v>0.01</v>
      </c>
      <c r="U23" s="18">
        <v>0.01</v>
      </c>
      <c r="V23" s="18">
        <v>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9.9999999999999992E-2</v>
      </c>
      <c r="AL23" s="27">
        <f>IF(Table1[[#This Row],[Hours]]&gt;0,Table1[[#This Row],[Hours]],Table1[[#This Row],[Nominal Hours]])*COUNTIF(Table1[[#This Row],[Autumn Week 1]:[Spring Week 12]],"&gt;0")</f>
        <v>5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206</v>
      </c>
      <c r="G24" s="11" t="s">
        <v>229</v>
      </c>
      <c r="H24" s="11" t="s">
        <v>305</v>
      </c>
      <c r="I24" s="11">
        <v>3</v>
      </c>
      <c r="J24" s="11">
        <f>AVERAGE(Table1[[#This Row],[Autumn Week 1]:[Spring Week 12]])*4*Table1[[#This Row],[Credits]]</f>
        <v>0</v>
      </c>
      <c r="K24" s="11">
        <v>15</v>
      </c>
      <c r="L24" s="18"/>
      <c r="M24" s="18"/>
      <c r="N24" s="18"/>
      <c r="O24" s="19">
        <v>-0.15</v>
      </c>
      <c r="P24" s="18">
        <v>0.15</v>
      </c>
      <c r="Q24" s="18"/>
      <c r="R24" s="18"/>
      <c r="S24" s="19">
        <v>0.15</v>
      </c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0.3</v>
      </c>
      <c r="AL24" s="27">
        <f>IF(Table1[[#This Row],[Hours]]&gt;0,Table1[[#This Row],[Hours]],Table1[[#This Row],[Nominal Hours]])*COUNTIF(Table1[[#This Row],[Autumn Week 1]:[Spring Week 12]],"&gt;0")</f>
        <v>30</v>
      </c>
    </row>
    <row r="25" spans="1:38">
      <c r="A25" s="4" t="s">
        <v>258</v>
      </c>
      <c r="B25" s="2" t="s">
        <v>257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10</v>
      </c>
      <c r="F25" s="11" t="s">
        <v>206</v>
      </c>
      <c r="G25" s="11" t="s">
        <v>229</v>
      </c>
      <c r="H25" s="11" t="s">
        <v>305</v>
      </c>
      <c r="I25" s="11">
        <v>1</v>
      </c>
      <c r="J25" s="11">
        <f>AVERAGE(Table1[[#This Row],[Autumn Week 1]:[Spring Week 12]])*4*Table1[[#This Row],[Credits]]</f>
        <v>1.142857142857143</v>
      </c>
      <c r="K25" s="11"/>
      <c r="L25" s="18"/>
      <c r="M25" s="18"/>
      <c r="N25" s="18">
        <v>2.5000000000000001E-2</v>
      </c>
      <c r="O25" s="18">
        <v>3.5000000000000003E-2</v>
      </c>
      <c r="P25" s="18">
        <v>0.01</v>
      </c>
      <c r="Q25" s="18">
        <v>0.05</v>
      </c>
      <c r="R25" s="18"/>
      <c r="S25" s="18">
        <v>0.03</v>
      </c>
      <c r="T25" s="18"/>
      <c r="U25" s="18">
        <v>2.5000000000000001E-2</v>
      </c>
      <c r="V25" s="18">
        <v>2.5000000000000001E-2</v>
      </c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0.2</v>
      </c>
      <c r="AL25" s="27">
        <f>IF(Table1[[#This Row],[Hours]]&gt;0,Table1[[#This Row],[Hours]],Table1[[#This Row],[Nominal Hours]])*COUNTIF(Table1[[#This Row],[Autumn Week 1]:[Spring Week 12]],"&gt;0")</f>
        <v>8.0000000000000018</v>
      </c>
    </row>
    <row r="26" spans="1:38">
      <c r="A26" s="4" t="s">
        <v>258</v>
      </c>
      <c r="B26" s="2" t="s">
        <v>257</v>
      </c>
      <c r="C26" s="11" t="s">
        <v>121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263</v>
      </c>
      <c r="G26" s="11" t="s">
        <v>229</v>
      </c>
      <c r="H26" s="11" t="s">
        <v>327</v>
      </c>
      <c r="I26" s="11">
        <v>3</v>
      </c>
      <c r="J26" s="11">
        <f>AVERAGE(Table1[[#This Row],[Autumn Week 1]:[Spring Week 12]])*4*Table1[[#This Row],[Credits]]</f>
        <v>8</v>
      </c>
      <c r="K26" s="11">
        <v>0.5</v>
      </c>
      <c r="L26" s="18"/>
      <c r="M26" s="18"/>
      <c r="N26" s="18"/>
      <c r="O26" s="19"/>
      <c r="P26" s="18"/>
      <c r="Q26" s="18"/>
      <c r="R26" s="18"/>
      <c r="S26" s="19"/>
      <c r="T26" s="18">
        <v>0.2</v>
      </c>
      <c r="U26" s="18"/>
      <c r="V26" s="18"/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0.5</v>
      </c>
    </row>
    <row r="27" spans="1:38">
      <c r="A27" s="4" t="s">
        <v>234</v>
      </c>
      <c r="B27" s="2" t="s">
        <v>235</v>
      </c>
      <c r="C27" s="11" t="s">
        <v>5</v>
      </c>
      <c r="D27" s="29">
        <f>INDEX(Table2[CA weight],MATCH(Table1[[#This Row],[Module Code]],Table2[Module Code],0))</f>
        <v>100</v>
      </c>
      <c r="E27" s="29">
        <f>INDEX(Table2[Credits],MATCH(Table1[[#This Row],[Module Code]],Table2[Module Code],0))</f>
        <v>10</v>
      </c>
      <c r="F27" s="11" t="s">
        <v>358</v>
      </c>
      <c r="G27" s="11" t="s">
        <v>229</v>
      </c>
      <c r="H27" s="11" t="s">
        <v>311</v>
      </c>
      <c r="I27" s="11">
        <v>1</v>
      </c>
      <c r="J27" s="11">
        <f>AVERAGE(Table1[[#This Row],[Autumn Week 1]:[Spring Week 12]])*4*Table1[[#This Row],[Credits]]</f>
        <v>0.39999999999999991</v>
      </c>
      <c r="K27" s="11">
        <v>1</v>
      </c>
      <c r="L27" s="18">
        <v>0.01</v>
      </c>
      <c r="M27" s="18">
        <v>0.01</v>
      </c>
      <c r="N27" s="18">
        <v>0.01</v>
      </c>
      <c r="O27" s="18">
        <v>0.01</v>
      </c>
      <c r="P27" s="18">
        <v>0.01</v>
      </c>
      <c r="Q27" s="18">
        <v>0.01</v>
      </c>
      <c r="R27" s="18">
        <v>0.01</v>
      </c>
      <c r="S27" s="18">
        <v>0.01</v>
      </c>
      <c r="T27" s="18">
        <v>0.01</v>
      </c>
      <c r="U27" s="18">
        <v>0.01</v>
      </c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9.9999999999999992E-2</v>
      </c>
      <c r="AL27" s="27">
        <f>IF(Table1[[#This Row],[Hours]]&gt;0,Table1[[#This Row],[Hours]],Table1[[#This Row],[Nominal Hours]])*COUNTIF(Table1[[#This Row],[Autumn Week 1]:[Spring Week 12]],"&gt;0")</f>
        <v>10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350</v>
      </c>
      <c r="G28" s="11" t="s">
        <v>229</v>
      </c>
      <c r="H28" s="11" t="s">
        <v>305</v>
      </c>
      <c r="I28" s="11">
        <v>3</v>
      </c>
      <c r="J28" s="11">
        <f>AVERAGE(Table1[[#This Row],[Autumn Week 1]:[Spring Week 12]])*4*Table1[[#This Row],[Credits]]</f>
        <v>8</v>
      </c>
      <c r="K28" s="11">
        <v>15</v>
      </c>
      <c r="L28" s="18"/>
      <c r="M28" s="18"/>
      <c r="N28" s="18"/>
      <c r="O28" s="19"/>
      <c r="P28" s="18"/>
      <c r="Q28" s="18"/>
      <c r="R28" s="18">
        <v>0.2</v>
      </c>
      <c r="S28" s="19"/>
      <c r="T28" s="18"/>
      <c r="U28" s="18"/>
      <c r="V28" s="18">
        <v>0.2</v>
      </c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0.4</v>
      </c>
      <c r="AL28" s="27">
        <f>IF(Table1[[#This Row],[Hours]]&gt;0,Table1[[#This Row],[Hours]],Table1[[#This Row],[Nominal Hours]])*COUNTIF(Table1[[#This Row],[Autumn Week 1]:[Spring Week 12]],"&gt;0")</f>
        <v>30</v>
      </c>
    </row>
    <row r="29" spans="1:38">
      <c r="A29" s="4" t="s">
        <v>234</v>
      </c>
      <c r="B29" s="2" t="s">
        <v>235</v>
      </c>
      <c r="C29" s="11" t="s">
        <v>4</v>
      </c>
      <c r="D29" s="29">
        <f>INDEX([1]!Table2[CA weight],MATCH([1]!Table1[[#This Row],[Module Code]],[1]!Table2[Module Code],0))</f>
        <v>100</v>
      </c>
      <c r="E29" s="29">
        <f>INDEX([1]!Table2[Credits],MATCH([1]!Table1[[#This Row],[Module Code]],[1]!Table2[Module Code],0))</f>
        <v>10</v>
      </c>
      <c r="F29" s="11" t="s">
        <v>267</v>
      </c>
      <c r="G29" s="11" t="s">
        <v>229</v>
      </c>
      <c r="H29" s="11" t="s">
        <v>315</v>
      </c>
      <c r="I29" s="11">
        <v>1</v>
      </c>
      <c r="J29" s="11">
        <f>AVERAGE(Table1[[#This Row],[Autumn Week 1]:[Spring Week 12]])*4*Table1[[#This Row],[Credits]]</f>
        <v>20</v>
      </c>
      <c r="K29" s="11">
        <v>0.5</v>
      </c>
      <c r="L29" s="18"/>
      <c r="M29" s="18"/>
      <c r="N29" s="18"/>
      <c r="O29" s="19"/>
      <c r="P29" s="18"/>
      <c r="Q29" s="18"/>
      <c r="R29" s="18"/>
      <c r="S29" s="19"/>
      <c r="T29" s="18"/>
      <c r="U29" s="18"/>
      <c r="V29" s="18"/>
      <c r="W29" s="19">
        <v>0.5</v>
      </c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0.5</v>
      </c>
      <c r="AL29" s="27">
        <f>IF(Table1[[#This Row],[Hours]]&gt;0,Table1[[#This Row],[Hours]],Table1[[#This Row],[Nominal Hours]])*COUNTIF(Table1[[#This Row],[Autumn Week 1]:[Spring Week 12]],"&gt;0")</f>
        <v>0.5</v>
      </c>
    </row>
    <row r="30" spans="1:38">
      <c r="A30" s="4" t="s">
        <v>40</v>
      </c>
      <c r="B30" s="2" t="s">
        <v>41</v>
      </c>
      <c r="C30" s="11" t="s">
        <v>5</v>
      </c>
      <c r="D30" s="29">
        <f>INDEX(Table2[CA weight],MATCH(Table1[[#This Row],[Module Code]],Table2[Module Code],0))</f>
        <v>40</v>
      </c>
      <c r="E30" s="29">
        <f>INDEX(Table2[Credits],MATCH(Table1[[#This Row],[Module Code]],Table2[Module Code],0))</f>
        <v>10</v>
      </c>
      <c r="F30" s="11" t="s">
        <v>206</v>
      </c>
      <c r="G30" s="11" t="s">
        <v>229</v>
      </c>
      <c r="H30" s="11" t="s">
        <v>311</v>
      </c>
      <c r="I30" s="11">
        <v>3</v>
      </c>
      <c r="J30" s="11">
        <f>AVERAGE(Table1[[#This Row],[Autumn Week 1]:[Spring Week 12]])*4*Table1[[#This Row],[Credits]]</f>
        <v>2.6666666666666665</v>
      </c>
      <c r="K30" s="11">
        <v>6</v>
      </c>
      <c r="L30" s="18"/>
      <c r="M30" s="18"/>
      <c r="N30" s="18"/>
      <c r="O30" s="19"/>
      <c r="P30" s="18"/>
      <c r="Q30" s="18">
        <v>0.2</v>
      </c>
      <c r="R30" s="18"/>
      <c r="S30" s="19"/>
      <c r="T30" s="18">
        <v>-0.2</v>
      </c>
      <c r="U30" s="18">
        <v>0.2</v>
      </c>
      <c r="V30" s="18"/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12</v>
      </c>
    </row>
    <row r="31" spans="1:38">
      <c r="A31" s="4" t="s">
        <v>44</v>
      </c>
      <c r="B31" s="2" t="s">
        <v>42</v>
      </c>
      <c r="C31" s="11" t="s">
        <v>125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297</v>
      </c>
      <c r="G31" s="11" t="s">
        <v>229</v>
      </c>
      <c r="H31" s="11" t="s">
        <v>351</v>
      </c>
      <c r="I31" s="11">
        <v>1</v>
      </c>
      <c r="J31" s="11">
        <f>AVERAGE(Table1[[#This Row],[Autumn Week 1]:[Spring Week 12]])*4*Table1[[#This Row],[Credits]]</f>
        <v>0.18181818181818185</v>
      </c>
      <c r="K31" s="11"/>
      <c r="L31" s="18">
        <v>1E-3</v>
      </c>
      <c r="M31" s="18">
        <v>1E-3</v>
      </c>
      <c r="N31" s="18">
        <v>1E-3</v>
      </c>
      <c r="O31" s="18">
        <v>1E-3</v>
      </c>
      <c r="P31" s="18">
        <v>1E-3</v>
      </c>
      <c r="Q31" s="18">
        <v>1E-3</v>
      </c>
      <c r="R31" s="18">
        <v>1E-3</v>
      </c>
      <c r="S31" s="18">
        <v>1E-3</v>
      </c>
      <c r="T31" s="18">
        <v>1E-3</v>
      </c>
      <c r="U31" s="18">
        <v>1E-3</v>
      </c>
      <c r="V31" s="18"/>
      <c r="W31" s="19">
        <v>0.04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0.05</v>
      </c>
      <c r="AL31" s="27">
        <f>IF(Table1[[#This Row],[Hours]]&gt;0,Table1[[#This Row],[Hours]],Table1[[#This Row],[Nominal Hours]])*COUNTIF(Table1[[#This Row],[Autumn Week 1]:[Spring Week 12]],"&gt;0")</f>
        <v>2.0000000000000004</v>
      </c>
    </row>
    <row r="32" spans="1:38">
      <c r="A32" s="4" t="s">
        <v>44</v>
      </c>
      <c r="B32" s="2" t="s">
        <v>42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298</v>
      </c>
      <c r="G32" s="11" t="s">
        <v>229</v>
      </c>
      <c r="H32" s="11" t="s">
        <v>305</v>
      </c>
      <c r="I32" s="11">
        <v>2</v>
      </c>
      <c r="J32" s="11">
        <f>AVERAGE(Table1[[#This Row],[Autumn Week 1]:[Spring Week 12]])*4*Table1[[#This Row],[Credits]]</f>
        <v>3</v>
      </c>
      <c r="K32" s="11">
        <v>2</v>
      </c>
      <c r="L32" s="18"/>
      <c r="M32" s="18"/>
      <c r="N32" s="18"/>
      <c r="O32" s="19">
        <v>7.4999999999999997E-2</v>
      </c>
      <c r="P32" s="19"/>
      <c r="Q32" s="18"/>
      <c r="R32" s="18"/>
      <c r="S32" s="18">
        <v>7.4999999999999997E-2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0.15</v>
      </c>
      <c r="AL32" s="27">
        <f>IF(Table1[[#This Row],[Hours]]&gt;0,Table1[[#This Row],[Hours]],Table1[[#This Row],[Nominal Hours]])*COUNTIF(Table1[[#This Row],[Autumn Week 1]:[Spring Week 12]],"&gt;0")</f>
        <v>4</v>
      </c>
    </row>
    <row r="33" spans="1:38">
      <c r="A33" s="4" t="s">
        <v>44</v>
      </c>
      <c r="B33" s="2" t="s">
        <v>42</v>
      </c>
      <c r="C33" s="11" t="s">
        <v>121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229</v>
      </c>
      <c r="H33" s="11" t="s">
        <v>305</v>
      </c>
      <c r="I33" s="11">
        <v>3</v>
      </c>
      <c r="J33" s="11">
        <f>AVERAGE(Table1[[#This Row],[Autumn Week 1]:[Spring Week 12]])*4*Table1[[#This Row],[Credits]]</f>
        <v>8</v>
      </c>
      <c r="K33" s="11">
        <v>15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44</v>
      </c>
      <c r="B34" s="2" t="s">
        <v>42</v>
      </c>
      <c r="C34" s="11" t="s">
        <v>122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299</v>
      </c>
      <c r="G34" s="11" t="s">
        <v>229</v>
      </c>
      <c r="H34" s="11" t="s">
        <v>305</v>
      </c>
      <c r="I34" s="11">
        <v>9</v>
      </c>
      <c r="J34" s="11">
        <f>AVERAGE(Table1[[#This Row],[Autumn Week 1]:[Spring Week 12]])*4*Table1[[#This Row],[Credits]]</f>
        <v>24</v>
      </c>
      <c r="K34" s="11">
        <v>9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/>
      <c r="W34" s="19">
        <v>0.6</v>
      </c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0.6</v>
      </c>
      <c r="AL34" s="27">
        <f>IF(Table1[[#This Row],[Hours]]&gt;0,Table1[[#This Row],[Hours]],Table1[[#This Row],[Nominal Hours]])*COUNTIF(Table1[[#This Row],[Autumn Week 1]:[Spring Week 12]],"&gt;0")</f>
        <v>9</v>
      </c>
    </row>
    <row r="35" spans="1:38" ht="14.65" customHeight="1">
      <c r="A35" s="4" t="s">
        <v>45</v>
      </c>
      <c r="B35" s="2" t="s">
        <v>43</v>
      </c>
      <c r="C35" s="11" t="s">
        <v>124</v>
      </c>
      <c r="D35" s="29">
        <f>INDEX(Table2[CA weight],MATCH(Table1[[#This Row],[Module Code]],Table2[Module Code],0))</f>
        <v>35</v>
      </c>
      <c r="E35" s="29">
        <f>INDEX(Table2[Credits],MATCH(Table1[[#This Row],[Module Code]],Table2[Module Code],0))</f>
        <v>10</v>
      </c>
      <c r="F35" s="11" t="s">
        <v>373</v>
      </c>
      <c r="G35" s="11" t="s">
        <v>220</v>
      </c>
      <c r="H35" s="11" t="s">
        <v>351</v>
      </c>
      <c r="I35" s="11">
        <v>1</v>
      </c>
      <c r="J35" s="11">
        <f>AVERAGE(Table1[[#This Row],[Autumn Week 1]:[Spring Week 12]])*4*Table1[[#This Row],[Credits]]</f>
        <v>2</v>
      </c>
      <c r="K35" s="11">
        <v>3</v>
      </c>
      <c r="L35" s="18"/>
      <c r="M35" s="18"/>
      <c r="N35" s="18"/>
      <c r="O35" s="19"/>
      <c r="P35" s="18"/>
      <c r="Q35" s="18">
        <v>0.05</v>
      </c>
      <c r="R35" s="18">
        <v>0.05</v>
      </c>
      <c r="S35" s="18">
        <v>0.05</v>
      </c>
      <c r="T35" s="18">
        <v>0.05</v>
      </c>
      <c r="U35" s="18">
        <v>0.05</v>
      </c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0.25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 ht="14.65" customHeight="1">
      <c r="A36" s="4" t="s">
        <v>45</v>
      </c>
      <c r="B36" s="2" t="s">
        <v>43</v>
      </c>
      <c r="C36" s="11" t="s">
        <v>371</v>
      </c>
      <c r="D36" s="29">
        <f>INDEX([1]!Table2[CA weight],MATCH([1]!Table1[[#This Row],[Module Code]],[1]!Table2[Module Code],0))</f>
        <v>100</v>
      </c>
      <c r="E36" s="29">
        <f>INDEX([1]!Table2[Credits],MATCH([1]!Table1[[#This Row],[Module Code]],[1]!Table2[Module Code],0))</f>
        <v>10</v>
      </c>
      <c r="F36" s="11" t="s">
        <v>372</v>
      </c>
      <c r="G36" s="11" t="s">
        <v>229</v>
      </c>
      <c r="H36" s="11" t="s">
        <v>305</v>
      </c>
      <c r="I36" s="11">
        <v>1</v>
      </c>
      <c r="J36" s="11">
        <f>AVERAGE(Table1[[#This Row],[Autumn Week 1]:[Spring Week 12]])*4*Table1[[#This Row],[Credits]]</f>
        <v>6</v>
      </c>
      <c r="K36" s="11">
        <v>3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0.15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0.15</v>
      </c>
      <c r="AL36" s="27">
        <f>IF(Table1[[#This Row],[Hours]]&gt;0,Table1[[#This Row],[Hours]],Table1[[#This Row],[Nominal Hours]])*COUNTIF(Table1[[#This Row],[Autumn Week 1]:[Spring Week 12]],"&gt;0")</f>
        <v>3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205</v>
      </c>
      <c r="G37" s="11" t="s">
        <v>229</v>
      </c>
      <c r="H37" s="11" t="s">
        <v>311</v>
      </c>
      <c r="I37" s="11">
        <v>5</v>
      </c>
      <c r="J37" s="11">
        <f>AVERAGE(Table1[[#This Row],[Autumn Week 1]:[Spring Week 12]])*4*Table1[[#This Row],[Credits]]</f>
        <v>8</v>
      </c>
      <c r="K37" s="11"/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0.2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</v>
      </c>
      <c r="AL37" s="27">
        <f>IF(Table1[[#This Row],[Hours]]&gt;0,Table1[[#This Row],[Hours]],Table1[[#This Row],[Nominal Hours]])*COUNTIF(Table1[[#This Row],[Autumn Week 1]:[Spring Week 12]],"&gt;0")</f>
        <v>8</v>
      </c>
    </row>
    <row r="38" spans="1:38" ht="28">
      <c r="A38" s="4" t="s">
        <v>49</v>
      </c>
      <c r="B38" s="2" t="s">
        <v>48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37" t="s">
        <v>293</v>
      </c>
      <c r="G38" s="11" t="s">
        <v>229</v>
      </c>
      <c r="H38" s="11" t="s">
        <v>360</v>
      </c>
      <c r="I38" s="11">
        <v>3</v>
      </c>
      <c r="J38" s="11">
        <f>AVERAGE(Table1[[#This Row],[Autumn Week 1]:[Spring Week 12]])*4*Table1[[#This Row],[Credits]]</f>
        <v>7.2000000000000011</v>
      </c>
      <c r="K38" s="11">
        <v>6</v>
      </c>
      <c r="L38" s="18"/>
      <c r="M38" s="18"/>
      <c r="N38" s="18"/>
      <c r="O38" s="18">
        <v>0.18</v>
      </c>
      <c r="P38" s="18"/>
      <c r="Q38" s="18"/>
      <c r="R38" s="18">
        <v>0.18</v>
      </c>
      <c r="S38" s="19"/>
      <c r="T38" s="18"/>
      <c r="U38" s="18">
        <v>0.18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0.54</v>
      </c>
      <c r="AL38" s="27">
        <f>IF(Table1[[#This Row],[Hours]]&gt;0,Table1[[#This Row],[Hours]],Table1[[#This Row],[Nominal Hours]])*COUNTIF(Table1[[#This Row],[Autumn Week 1]:[Spring Week 12]],"&gt;0")</f>
        <v>18</v>
      </c>
    </row>
    <row r="39" spans="1:38">
      <c r="A39" s="4" t="s">
        <v>49</v>
      </c>
      <c r="B39" s="2" t="s">
        <v>48</v>
      </c>
      <c r="C39" s="11" t="s">
        <v>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204</v>
      </c>
      <c r="G39" s="11" t="s">
        <v>229</v>
      </c>
      <c r="H39" s="11" t="s">
        <v>360</v>
      </c>
      <c r="I39" s="11">
        <v>1</v>
      </c>
      <c r="J39" s="11">
        <f>AVERAGE(Table1[[#This Row],[Autumn Week 1]:[Spring Week 12]])*4*Table1[[#This Row],[Credits]]</f>
        <v>4</v>
      </c>
      <c r="K39" s="11">
        <v>1</v>
      </c>
      <c r="L39" s="18"/>
      <c r="M39" s="18">
        <v>0.1</v>
      </c>
      <c r="N39" s="18"/>
      <c r="O39" s="19"/>
      <c r="P39" s="18"/>
      <c r="Q39" s="18"/>
      <c r="R39" s="18"/>
      <c r="S39" s="19"/>
      <c r="T39" s="18"/>
      <c r="U39" s="18"/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</v>
      </c>
      <c r="AL39" s="27">
        <f>IF(Table1[[#This Row],[Hours]]&gt;0,Table1[[#This Row],[Hours]],Table1[[#This Row],[Nominal Hours]])*COUNTIF(Table1[[#This Row],[Autumn Week 1]:[Spring Week 12]],"&gt;0")</f>
        <v>1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3</v>
      </c>
      <c r="J40" s="11">
        <f>AVERAGE(Table1[[#This Row],[Autumn Week 1]:[Spring Week 12]])*4*Table1[[#This Row],[Credits]]</f>
        <v>12</v>
      </c>
      <c r="K40" s="11">
        <v>15</v>
      </c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>
        <v>0.3</v>
      </c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0.3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260</v>
      </c>
      <c r="G41" s="11" t="s">
        <v>229</v>
      </c>
      <c r="H41" s="11" t="s">
        <v>305</v>
      </c>
      <c r="I41" s="11">
        <v>9</v>
      </c>
      <c r="J41" s="11">
        <f>AVERAGE(Table1[[#This Row],[Autumn Week 1]:[Spring Week 12]])*4*Table1[[#This Row],[Credits]]</f>
        <v>2.4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0.06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0.06</v>
      </c>
      <c r="AL41" s="27">
        <f>IF(Table1[[#This Row],[Hours]]&gt;0,Table1[[#This Row],[Hours]],Table1[[#This Row],[Nominal Hours]])*COUNTIF(Table1[[#This Row],[Autumn Week 1]:[Spring Week 12]],"&gt;0")</f>
        <v>2.4</v>
      </c>
    </row>
    <row r="42" spans="1:38">
      <c r="A42" s="4" t="s">
        <v>51</v>
      </c>
      <c r="B42" s="2" t="s">
        <v>50</v>
      </c>
      <c r="C42" s="11" t="s">
        <v>124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346</v>
      </c>
      <c r="G42" s="11" t="s">
        <v>220</v>
      </c>
      <c r="H42" s="11" t="s">
        <v>360</v>
      </c>
      <c r="I42" s="11">
        <v>1</v>
      </c>
      <c r="J42" s="11">
        <f>AVERAGE(Table1[[#This Row],[Autumn Week 1]:[Spring Week 12]])*4*Table1[[#This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0.95000000000000029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51</v>
      </c>
      <c r="B43" s="2" t="s">
        <v>50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347</v>
      </c>
      <c r="G43" s="11" t="s">
        <v>229</v>
      </c>
      <c r="H43" s="11" t="s">
        <v>360</v>
      </c>
      <c r="I43" s="11">
        <v>1</v>
      </c>
      <c r="J43" s="11">
        <f>AVERAGE(Table1[[#This Row],[Autumn Week 1]:[Spring Week 12]])*4*Table1[[#This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348</v>
      </c>
      <c r="G44" s="11" t="s">
        <v>229</v>
      </c>
      <c r="H44" s="11" t="s">
        <v>360</v>
      </c>
      <c r="I44" s="11">
        <v>3</v>
      </c>
      <c r="J44" s="11">
        <f>AVERAGE(Table1[[#This Row],[Autumn Week 1]:[Spring Week 12]])*4*Table1[[#This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SUMIF(Table1[[#This Row],[Autumn Week 1]:[Spring Week 12]],"&gt;0",Table1[[#This Row],[Autumn Week 1]:[Spring Week 12]])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348</v>
      </c>
      <c r="G45" s="11" t="s">
        <v>229</v>
      </c>
      <c r="H45" s="11" t="s">
        <v>360</v>
      </c>
      <c r="I45" s="11">
        <v>3</v>
      </c>
      <c r="J45" s="11">
        <f>AVERAGE(Table1[[#This Row],[Autumn Week 1]:[Spring Week 12]])*4*Table1[[#This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122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260</v>
      </c>
      <c r="G46" s="11" t="s">
        <v>229</v>
      </c>
      <c r="H46" s="11" t="s">
        <v>305</v>
      </c>
      <c r="I46" s="11">
        <v>11</v>
      </c>
      <c r="J46" s="11">
        <f>AVERAGE(Table1[[#This Row],[Autumn Week 1]:[Spring Week 12]])*4*Table1[[#This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2"/>
      <c r="AJ46" s="22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51</v>
      </c>
      <c r="B47" s="2" t="s">
        <v>50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205</v>
      </c>
      <c r="G47" s="11" t="s">
        <v>229</v>
      </c>
      <c r="H47" s="11" t="s">
        <v>305</v>
      </c>
      <c r="I47" s="11">
        <v>4</v>
      </c>
      <c r="J47" s="11">
        <f>AVERAGE(Table1[[#This Row],[Autumn Week 1]:[Spring Week 12]])*4*Table1[[#This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SUMIF(Table1[[#This Row],[Autumn Week 1]:[Spring Week 12]],"&gt;0",Table1[[#This Row],[Autumn Week 1]:[Spring Week 12]])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53</v>
      </c>
      <c r="B48" s="2" t="s">
        <v>52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346</v>
      </c>
      <c r="G48" s="11" t="s">
        <v>220</v>
      </c>
      <c r="H48" s="11" t="s">
        <v>361</v>
      </c>
      <c r="I48" s="11">
        <v>1</v>
      </c>
      <c r="J48" s="11">
        <f>AVERAGE(Table1[[#This Row],[Autumn Week 1]:[Spring Week 12]])*4*Table1[[#This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SUMIF(Table1[[#This Row],[Autumn Week 1]:[Spring Week 12]],"&gt;0",Table1[[#This Row],[Autumn Week 1]:[Spring Week 12]])</f>
        <v>1.0000000000000002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262</v>
      </c>
      <c r="G49" s="11" t="s">
        <v>229</v>
      </c>
      <c r="H49" s="11" t="s">
        <v>361</v>
      </c>
      <c r="I49" s="11">
        <v>2</v>
      </c>
      <c r="J49" s="11">
        <f>AVERAGE(Table1[[#This Row],[Autumn Week 1]:[Spring Week 12]])*4*Table1[[#This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0"/>
      <c r="AJ49" s="20"/>
      <c r="AK49" s="27">
        <f>SUMIF(Table1[[#This Row],[Autumn Week 1]:[Spring Week 12]],"&gt;0",Table1[[#This Row],[Autumn Week 1]:[Spring Week 12]])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53</v>
      </c>
      <c r="B50" s="2" t="s">
        <v>52</v>
      </c>
      <c r="C50" s="11" t="s">
        <v>5</v>
      </c>
      <c r="D50" s="29">
        <f>INDEX([1]!Table2[CA weight],MATCH([1]!Table1[[#This Row],[Module Code]],[1]!Table2[Module Code],0))</f>
        <v>100</v>
      </c>
      <c r="E50" s="29">
        <f>INDEX([1]!Table2[Credits],MATCH([1]!Table1[[#This Row],[Module Code]],[1]!Table2[Module Code],0))</f>
        <v>20</v>
      </c>
      <c r="F50" s="11" t="s">
        <v>204</v>
      </c>
      <c r="G50" s="11" t="s">
        <v>229</v>
      </c>
      <c r="H50" s="11" t="s">
        <v>361</v>
      </c>
      <c r="I50" s="11">
        <v>2</v>
      </c>
      <c r="J50" s="11">
        <f>AVERAGE(Table1[[#This Row],[Autumn Week 1]:[Spring Week 12]])*4*Table1[[#This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SUMIF(Table1[[#This Row],[Autumn Week 1]:[Spring Week 12]],"&gt;0",Table1[[#This Row],[Autumn Week 1]:[Spring Week 12]])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53</v>
      </c>
      <c r="B51" s="2" t="s">
        <v>52</v>
      </c>
      <c r="C51" s="11" t="s">
        <v>5</v>
      </c>
      <c r="D51" s="29">
        <f>INDEX([1]!Table2[CA weight],MATCH([1]!Table1[[#This Row],[Module Code]],[1]!Table2[Module Code],0))</f>
        <v>100</v>
      </c>
      <c r="E51" s="29">
        <f>INDEX([1]!Table2[Credits],MATCH([1]!Table1[[#This Row],[Module Code]],[1]!Table2[Module Code],0))</f>
        <v>20</v>
      </c>
      <c r="F51" s="11" t="s">
        <v>203</v>
      </c>
      <c r="G51" s="11" t="s">
        <v>229</v>
      </c>
      <c r="H51" s="11" t="s">
        <v>305</v>
      </c>
      <c r="I51" s="11">
        <v>3</v>
      </c>
      <c r="J51" s="11">
        <f>AVERAGE(Table1[[#This Row],[Autumn Week 1]:[Spring Week 12]])*4*Table1[[#This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121</v>
      </c>
      <c r="D52" s="29">
        <f>INDEX([1]!Table2[CA weight],MATCH([1]!Table1[[#This Row],[Module Code]],[1]!Table2[Module Code],0))</f>
        <v>100</v>
      </c>
      <c r="E52" s="29">
        <f>INDEX([1]!Table2[Credits],MATCH([1]!Table1[[#This Row],[Module Code]],[1]!Table2[Module Code],0))</f>
        <v>20</v>
      </c>
      <c r="F52" s="11" t="s">
        <v>349</v>
      </c>
      <c r="G52" s="11" t="s">
        <v>229</v>
      </c>
      <c r="H52" s="11" t="s">
        <v>305</v>
      </c>
      <c r="I52" s="11">
        <v>6</v>
      </c>
      <c r="J52" s="11">
        <f>AVERAGE(Table1[[#This Row],[Autumn Week 1]:[Spring Week 12]])*4*Table1[[#This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SUMIF(Table1[[#This Row],[Autumn Week 1]:[Spring Week 12]],"&gt;0",Table1[[#This Row],[Autumn Week 1]:[Spring Week 12]])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93</v>
      </c>
      <c r="B53" s="3" t="s">
        <v>85</v>
      </c>
      <c r="C53" s="11" t="s">
        <v>125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261</v>
      </c>
      <c r="G53" s="11" t="s">
        <v>229</v>
      </c>
      <c r="H53" s="11" t="s">
        <v>305</v>
      </c>
      <c r="I53" s="11">
        <v>1</v>
      </c>
      <c r="J53" s="11">
        <f>AVERAGE(Table1[[#This Row],[Autumn Week 1]:[Spring Week 12]])*4*Table1[[#This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SUMIF(Table1[[#This Row],[Autumn Week 1]:[Spring Week 12]],"&gt;0",Table1[[#This Row],[Autumn Week 1]:[Spring Week 12]])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93</v>
      </c>
      <c r="B54" s="3" t="s">
        <v>85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206</v>
      </c>
      <c r="G54" s="11" t="s">
        <v>229</v>
      </c>
      <c r="H54" s="11" t="s">
        <v>305</v>
      </c>
      <c r="I54" s="11">
        <v>3</v>
      </c>
      <c r="J54" s="11">
        <f>AVERAGE(Table1[[#This Row],[Autumn Week 1]:[Spring Week 12]])*4*Table1[[#This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94</v>
      </c>
      <c r="B55" s="3" t="s">
        <v>86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206</v>
      </c>
      <c r="G55" s="11" t="s">
        <v>229</v>
      </c>
      <c r="H55" s="11" t="s">
        <v>305</v>
      </c>
      <c r="I55" s="11">
        <v>1</v>
      </c>
      <c r="J55" s="11">
        <f>AVERAGE(Table1[[#This Row],[Autumn Week 1]:[Spring Week 12]])*4*Table1[[#This Row],[Credits]]</f>
        <v>2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-0.1</v>
      </c>
      <c r="AD55" s="20">
        <v>0.1</v>
      </c>
      <c r="AE55" s="20"/>
      <c r="AF55" s="20"/>
      <c r="AG55" s="20">
        <v>0.1</v>
      </c>
      <c r="AH55" s="20"/>
      <c r="AI55" s="20"/>
      <c r="AJ55" s="20"/>
      <c r="AK55" s="27">
        <f>SUMIF(Table1[[#This Row],[Autumn Week 1]:[Spring Week 12]],"&gt;0",Table1[[#This Row],[Autumn Week 1]:[Spring Week 12]])</f>
        <v>0.30000000000000004</v>
      </c>
      <c r="AL55" s="27">
        <f>IF(Table1[[#This Row],[Hours]]&gt;0,Table1[[#This Row],[Hours]],Table1[[#This Row],[Nominal Hours]])*COUNTIF(Table1[[#This Row],[Autumn Week 1]:[Spring Week 12]],"&gt;0")</f>
        <v>6</v>
      </c>
    </row>
    <row r="56" spans="1:38" ht="28">
      <c r="A56" s="3" t="s">
        <v>186</v>
      </c>
      <c r="B56" s="3" t="s">
        <v>88</v>
      </c>
      <c r="C56" s="11" t="s">
        <v>125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37" t="s">
        <v>291</v>
      </c>
      <c r="G56" s="11" t="s">
        <v>229</v>
      </c>
      <c r="H56" s="11" t="s">
        <v>305</v>
      </c>
      <c r="I56" s="11">
        <v>1</v>
      </c>
      <c r="J56" s="11">
        <f>AVERAGE(Table1[[#This Row],[Autumn Week 1]:[Spring Week 12]])*4*Table1[[#This Row],[Credits]]</f>
        <v>1.2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/>
      <c r="AE56" s="20"/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0.15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292</v>
      </c>
      <c r="G57" s="11" t="s">
        <v>229</v>
      </c>
      <c r="H57" s="11" t="s">
        <v>305</v>
      </c>
      <c r="I57" s="11">
        <v>1</v>
      </c>
      <c r="J57" s="11">
        <f>AVERAGE(Table1[[#This Row],[Autumn Week 1]:[Spring Week 12]])*4*Table1[[#This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/>
      <c r="AD57" s="20">
        <v>0.03</v>
      </c>
      <c r="AE57" s="20">
        <v>0.03</v>
      </c>
      <c r="AF57" s="20">
        <v>0.03</v>
      </c>
      <c r="AG57" s="20">
        <v>0.03</v>
      </c>
      <c r="AH57" s="20">
        <v>0.03</v>
      </c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>
      <c r="A58" s="3" t="s">
        <v>89</v>
      </c>
      <c r="B58" s="3" t="s">
        <v>90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266</v>
      </c>
      <c r="G58" s="11" t="s">
        <v>229</v>
      </c>
      <c r="H58" s="11" t="s">
        <v>305</v>
      </c>
      <c r="I58" s="11">
        <v>4</v>
      </c>
      <c r="J58" s="11">
        <f>AVERAGE(Table1[[#This Row],[Autumn Week 1]:[Spring Week 12]])*4*Table1[[#This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>
        <v>0.1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89</v>
      </c>
      <c r="B59" s="3" t="s">
        <v>90</v>
      </c>
      <c r="C59" s="12" t="s">
        <v>121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208</v>
      </c>
      <c r="G59" s="11" t="s">
        <v>229</v>
      </c>
      <c r="H59" s="11" t="s">
        <v>315</v>
      </c>
      <c r="I59" s="11">
        <v>4</v>
      </c>
      <c r="J59" s="11">
        <f>AVERAGE(Table1[[#This Row],[Autumn Week 1]:[Spring Week 12]])*4*Table1[[#This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>
        <v>0.1</v>
      </c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91</v>
      </c>
      <c r="B60" s="3" t="s">
        <v>92</v>
      </c>
      <c r="C60" s="11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37" t="s">
        <v>345</v>
      </c>
      <c r="G60" s="11" t="s">
        <v>229</v>
      </c>
      <c r="H60" s="11" t="s">
        <v>327</v>
      </c>
      <c r="I60" s="11">
        <v>1</v>
      </c>
      <c r="J60" s="11">
        <f>AVERAGE(Table1[[#This Row],[Autumn Week 1]:[Spring Week 12]])*4*Table1[[#This Row],[Credits]]</f>
        <v>3.5999999999999992</v>
      </c>
      <c r="K60" s="11">
        <v>0.5</v>
      </c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0.09</v>
      </c>
      <c r="Z60" s="20">
        <v>0.09</v>
      </c>
      <c r="AA60" s="20">
        <v>0.09</v>
      </c>
      <c r="AB60" s="20">
        <v>0.09</v>
      </c>
      <c r="AC60" s="20"/>
      <c r="AD60" s="20">
        <v>0.09</v>
      </c>
      <c r="AE60" s="20">
        <v>0.09</v>
      </c>
      <c r="AF60" s="20">
        <v>0.09</v>
      </c>
      <c r="AG60" s="20">
        <v>0.09</v>
      </c>
      <c r="AH60" s="20"/>
      <c r="AI60" s="20"/>
      <c r="AJ60" s="20"/>
      <c r="AK60" s="27">
        <f>SUMIF(Table1[[#This Row],[Autumn Week 1]:[Spring Week 12]],"&gt;0",Table1[[#This Row],[Autumn Week 1]:[Spring Week 12]])</f>
        <v>0.71999999999999986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2" t="s">
        <v>121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209</v>
      </c>
      <c r="G61" s="11" t="s">
        <v>229</v>
      </c>
      <c r="H61" s="11" t="s">
        <v>305</v>
      </c>
      <c r="I61" s="11">
        <v>6</v>
      </c>
      <c r="J61" s="11">
        <f>AVERAGE(Table1[[#This Row],[Autumn Week 1]:[Spring Week 12]])*4*Table1[[#This Row],[Credits]]</f>
        <v>5.2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>
        <v>0.13</v>
      </c>
      <c r="AH61" s="20"/>
      <c r="AI61" s="20"/>
      <c r="AJ61" s="20"/>
      <c r="AK61" s="27">
        <f>SUMIF(Table1[[#This Row],[Autumn Week 1]:[Spring Week 12]],"&gt;0",Table1[[#This Row],[Autumn Week 1]:[Spring Week 12]])</f>
        <v>0.13</v>
      </c>
      <c r="AL61" s="27">
        <f>IF(Table1[[#This Row],[Hours]]&gt;0,Table1[[#This Row],[Hours]],Table1[[#This Row],[Nominal Hours]])*COUNTIF(Table1[[#This Row],[Autumn Week 1]:[Spring Week 12]],"&gt;0")</f>
        <v>5.2</v>
      </c>
    </row>
    <row r="62" spans="1:38" ht="14.65" customHeight="1">
      <c r="A62" s="3" t="s">
        <v>91</v>
      </c>
      <c r="B62" s="3" t="s">
        <v>92</v>
      </c>
      <c r="C62" s="12" t="s">
        <v>5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260</v>
      </c>
      <c r="G62" s="11" t="s">
        <v>229</v>
      </c>
      <c r="H62" s="11" t="s">
        <v>305</v>
      </c>
      <c r="I62" s="11">
        <v>1</v>
      </c>
      <c r="J62" s="11">
        <f>AVERAGE(Table1[[#This Row],[Autumn Week 1]:[Spring Week 12]])*4*Table1[[#This Row],[Credits]]</f>
        <v>2</v>
      </c>
      <c r="K62" s="11">
        <v>1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>
        <v>0.05</v>
      </c>
      <c r="AI62" s="20"/>
      <c r="AJ62" s="20"/>
      <c r="AK62" s="27">
        <f>SUMIF(Table1[[#This Row],[Autumn Week 1]:[Spring Week 12]],"&gt;0",Table1[[#This Row],[Autumn Week 1]:[Spring Week 12]])</f>
        <v>0.05</v>
      </c>
      <c r="AL62" s="27">
        <f>IF(Table1[[#This Row],[Hours]]&gt;0,Table1[[#This Row],[Hours]],Table1[[#This Row],[Nominal Hours]])*COUNTIF(Table1[[#This Row],[Autumn Week 1]:[Spring Week 12]],"&gt;0")</f>
        <v>1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327</v>
      </c>
      <c r="I63" s="11">
        <v>9</v>
      </c>
      <c r="J63" s="11">
        <f>AVERAGE(Table1[[#This Row],[Autumn Week 1]:[Spring Week 12]])*4*Table1[[#This Row],[Credits]]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</v>
      </c>
      <c r="AH63" s="20"/>
      <c r="AI63" s="20"/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 ht="14.65" customHeight="1">
      <c r="A64" s="3" t="s">
        <v>95</v>
      </c>
      <c r="B64" s="3" t="s">
        <v>87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345</v>
      </c>
      <c r="G64" s="11" t="s">
        <v>229</v>
      </c>
      <c r="H64" s="11" t="s">
        <v>311</v>
      </c>
      <c r="I64" s="11">
        <v>1</v>
      </c>
      <c r="J64" s="11">
        <f>AVERAGE(Table1[[#This Row],[Autumn Week 1]:[Spring Week 12]])*4*Table1[[#This Row],[Credits]]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95</v>
      </c>
      <c r="B65" s="3" t="s">
        <v>87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305</v>
      </c>
      <c r="I65" s="11">
        <v>6</v>
      </c>
      <c r="J65" s="11">
        <f>AVERAGE(Table1[[#This Row],[Autumn Week 1]:[Spring Week 12]])*4*Table1[[#This Row],[Credits]]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>
      <c r="A66" s="3" t="s">
        <v>95</v>
      </c>
      <c r="B66" s="3" t="s">
        <v>87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305</v>
      </c>
      <c r="I66" s="11">
        <v>1</v>
      </c>
      <c r="J66" s="11">
        <f>AVERAGE(Table1[[#This Row],[Autumn Week 1]:[Spring Week 12]])*4*Table1[[#This Row],[Credits]]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311</v>
      </c>
      <c r="I67" s="11">
        <v>1</v>
      </c>
      <c r="J67" s="11">
        <f>AVERAGE(Table1[[#This Row],[Autumn Week 1]:[Spring Week 12]])*4*Table1[[#This Row],[Credits]]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37" t="s">
        <v>280</v>
      </c>
      <c r="G68" s="11" t="s">
        <v>220</v>
      </c>
      <c r="H68" s="11"/>
      <c r="I68" s="11">
        <v>1</v>
      </c>
      <c r="J68" s="11">
        <f>AVERAGE(Table1[[#This Row],[Autumn Week 1]:[Spring Week 12]])*4*Table1[[#This Row],[Credits]]</f>
        <v>0.8</v>
      </c>
      <c r="K68" s="11">
        <v>0.5</v>
      </c>
      <c r="L68" s="19"/>
      <c r="M68" s="19">
        <v>0.01</v>
      </c>
      <c r="N68" s="19">
        <v>0.01</v>
      </c>
      <c r="O68" s="19">
        <v>0.01</v>
      </c>
      <c r="P68" s="19">
        <v>0.01</v>
      </c>
      <c r="Q68" s="19">
        <v>0.01</v>
      </c>
      <c r="R68" s="19">
        <v>0.01</v>
      </c>
      <c r="S68" s="19">
        <v>0.01</v>
      </c>
      <c r="T68" s="19">
        <v>0.01</v>
      </c>
      <c r="U68" s="19">
        <v>0.01</v>
      </c>
      <c r="V68" s="18"/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SUMIF(Table1[[#This Row],[Autumn Week 1]:[Spring Week 12]],"&gt;0",Table1[[#This Row],[Autumn Week 1]:[Spring Week 12]])</f>
        <v>0.09</v>
      </c>
      <c r="AL68" s="27">
        <f>IF(Table1[[#This Row],[Hours]]&gt;0,Table1[[#This Row],[Hours]],Table1[[#This Row],[Nominal Hours]])*COUNTIF(Table1[[#This Row],[Autumn Week 1]:[Spring Week 12]],"&gt;0")</f>
        <v>4.5</v>
      </c>
    </row>
    <row r="69" spans="1:38" ht="28">
      <c r="A69" s="4" t="s">
        <v>1</v>
      </c>
      <c r="B69" s="2" t="s">
        <v>2</v>
      </c>
      <c r="C69" s="11" t="s">
        <v>279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300</v>
      </c>
      <c r="G69" s="11" t="s">
        <v>229</v>
      </c>
      <c r="H69" s="11" t="s">
        <v>305</v>
      </c>
      <c r="I69" s="11">
        <v>1</v>
      </c>
      <c r="J69" s="11">
        <f>AVERAGE(Table1[[#This Row],[Autumn Week 1]:[Spring Week 12]])*4*Table1[[#This Row],[Credits]]</f>
        <v>8</v>
      </c>
      <c r="K69" s="11">
        <v>0.5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>
        <v>0.1</v>
      </c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0.5</v>
      </c>
    </row>
    <row r="70" spans="1:38">
      <c r="A70" s="4" t="s">
        <v>1</v>
      </c>
      <c r="B70" s="2" t="s">
        <v>2</v>
      </c>
      <c r="C70" s="11" t="s">
        <v>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11" t="s">
        <v>206</v>
      </c>
      <c r="G70" s="11" t="s">
        <v>229</v>
      </c>
      <c r="H70" s="11" t="s">
        <v>305</v>
      </c>
      <c r="I70" s="11">
        <v>4</v>
      </c>
      <c r="J70" s="11">
        <f>AVERAGE(Table1[[#This Row],[Autumn Week 1]:[Spring Week 12]])*4*Table1[[#This Row],[Credits]]</f>
        <v>8</v>
      </c>
      <c r="K70" s="11"/>
      <c r="L70" s="19"/>
      <c r="M70" s="19"/>
      <c r="N70" s="19"/>
      <c r="O70" s="19"/>
      <c r="P70" s="19"/>
      <c r="Q70" s="19"/>
      <c r="R70" s="19"/>
      <c r="S70" s="19">
        <v>0.1</v>
      </c>
      <c r="T70" s="19"/>
      <c r="U70" s="18"/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8</v>
      </c>
    </row>
    <row r="71" spans="1:38">
      <c r="A71" s="4" t="s">
        <v>248</v>
      </c>
      <c r="B71" s="2" t="s">
        <v>236</v>
      </c>
      <c r="C71" s="11" t="s">
        <v>125</v>
      </c>
      <c r="D71" s="29">
        <f>INDEX(Table2[CA weight],MATCH(Table1[[#This Row],[Module Code]],Table2[Module Code],0))</f>
        <v>30</v>
      </c>
      <c r="E71" s="29">
        <f>INDEX(Table2[Credits],MATCH(Table1[[#This Row],[Module Code]],Table2[Module Code],0))</f>
        <v>10</v>
      </c>
      <c r="F71" s="11" t="s">
        <v>374</v>
      </c>
      <c r="G71" s="11" t="s">
        <v>229</v>
      </c>
      <c r="H71" s="11" t="s">
        <v>311</v>
      </c>
      <c r="I71" s="13">
        <v>1</v>
      </c>
      <c r="J71" s="11">
        <f>AVERAGE(Table1[[#This Row],[Autumn Week 1]:[Spring Week 12]])*4*Table1[[#This Row],[Credits]]</f>
        <v>1.3333333333333333</v>
      </c>
      <c r="K71" s="11"/>
      <c r="L71" s="18"/>
      <c r="M71" s="18">
        <f>0.3/9</f>
        <v>3.3333333333333333E-2</v>
      </c>
      <c r="N71" s="18">
        <f t="shared" ref="N71:U71" si="1">0.3/9</f>
        <v>3.3333333333333333E-2</v>
      </c>
      <c r="O71" s="18">
        <f t="shared" si="1"/>
        <v>3.3333333333333333E-2</v>
      </c>
      <c r="P71" s="18">
        <f t="shared" si="1"/>
        <v>3.3333333333333333E-2</v>
      </c>
      <c r="Q71" s="18">
        <f t="shared" si="1"/>
        <v>3.3333333333333333E-2</v>
      </c>
      <c r="R71" s="18">
        <f t="shared" si="1"/>
        <v>3.3333333333333333E-2</v>
      </c>
      <c r="S71" s="18">
        <f t="shared" si="1"/>
        <v>3.3333333333333333E-2</v>
      </c>
      <c r="T71" s="18">
        <f t="shared" si="1"/>
        <v>3.3333333333333333E-2</v>
      </c>
      <c r="U71" s="18">
        <f t="shared" si="1"/>
        <v>3.3333333333333333E-2</v>
      </c>
      <c r="V71" s="18"/>
      <c r="W71" s="23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0.3</v>
      </c>
      <c r="AL71" s="27">
        <f>IF(Table1[[#This Row],[Hours]]&gt;0,Table1[[#This Row],[Hours]],Table1[[#This Row],[Nominal Hours]])*COUNTIF(Table1[[#This Row],[Autumn Week 1]:[Spring Week 12]],"&gt;0")</f>
        <v>12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301</v>
      </c>
      <c r="G72" s="11" t="s">
        <v>220</v>
      </c>
      <c r="H72" s="11"/>
      <c r="I72" s="11">
        <v>1</v>
      </c>
      <c r="J72" s="11">
        <f>AVERAGE(Table1[[#This Row],[Autumn Week 1]:[Spring Week 12]])*4*Table1[[#This Row],[Credits]]</f>
        <v>2.5</v>
      </c>
      <c r="K72" s="11">
        <v>0.5</v>
      </c>
      <c r="L72" s="18"/>
      <c r="M72" s="18">
        <v>2.5000000000000001E-2</v>
      </c>
      <c r="N72" s="18">
        <v>2.5000000000000001E-2</v>
      </c>
      <c r="O72" s="18">
        <v>2.5000000000000001E-2</v>
      </c>
      <c r="P72" s="18">
        <v>2.5000000000000001E-2</v>
      </c>
      <c r="Q72" s="18"/>
      <c r="R72" s="18">
        <v>0.1</v>
      </c>
      <c r="S72" s="19">
        <v>0.1</v>
      </c>
      <c r="T72" s="18">
        <v>0.1</v>
      </c>
      <c r="U72" s="18">
        <v>0.1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0.5</v>
      </c>
      <c r="AL72" s="27">
        <f>IF(Table1[[#This Row],[Hours]]&gt;0,Table1[[#This Row],[Hours]],Table1[[#This Row],[Nominal Hours]])*COUNTIF(Table1[[#This Row],[Autumn Week 1]:[Spring Week 12]],"&gt;0")</f>
        <v>4</v>
      </c>
    </row>
    <row r="73" spans="1:38">
      <c r="A73" s="4" t="s">
        <v>8</v>
      </c>
      <c r="B73" s="2" t="s">
        <v>9</v>
      </c>
      <c r="C73" s="11" t="s">
        <v>122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281</v>
      </c>
      <c r="G73" s="11" t="s">
        <v>229</v>
      </c>
      <c r="H73" s="11" t="s">
        <v>351</v>
      </c>
      <c r="I73" s="11">
        <v>1</v>
      </c>
      <c r="J73" s="11">
        <f>AVERAGE(Table1[[#This Row],[Autumn Week 1]:[Spring Week 12]])*4*Table1[[#This Row],[Credits]]</f>
        <v>4</v>
      </c>
      <c r="K73" s="11">
        <v>0.5</v>
      </c>
      <c r="L73" s="18"/>
      <c r="M73" s="18"/>
      <c r="N73" s="18"/>
      <c r="O73" s="18"/>
      <c r="P73" s="18"/>
      <c r="Q73" s="18">
        <v>0.1</v>
      </c>
      <c r="R73" s="18"/>
      <c r="S73" s="18"/>
      <c r="T73" s="18"/>
      <c r="U73" s="19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0.2</v>
      </c>
      <c r="AL73" s="27">
        <f>IF(Table1[[#This Row],[Hours]]&gt;0,Table1[[#This Row],[Hours]],Table1[[#This Row],[Nominal Hours]])*COUNTIF(Table1[[#This Row],[Autumn Week 1]:[Spring Week 12]],"&gt;0")</f>
        <v>1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206</v>
      </c>
      <c r="G74" s="11" t="s">
        <v>229</v>
      </c>
      <c r="H74" s="11" t="s">
        <v>351</v>
      </c>
      <c r="I74" s="11">
        <v>4</v>
      </c>
      <c r="J74" s="11">
        <f>AVERAGE(Table1[[#This Row],[Autumn Week 1]:[Spring Week 12]])*4*Table1[[#This Row],[Credits]]</f>
        <v>16</v>
      </c>
      <c r="K74" s="11">
        <v>20</v>
      </c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>
        <v>0.45</v>
      </c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0.8</v>
      </c>
      <c r="AL74" s="27">
        <f>IF(Table1[[#This Row],[Hours]]&gt;0,Table1[[#This Row],[Hours]],Table1[[#This Row],[Nominal Hours]])*COUNTIF(Table1[[#This Row],[Autumn Week 1]:[Spring Week 12]],"&gt;0")</f>
        <v>40</v>
      </c>
    </row>
    <row r="75" spans="1:38">
      <c r="A75" s="4" t="s">
        <v>10</v>
      </c>
      <c r="B75" s="2" t="s">
        <v>11</v>
      </c>
      <c r="C75" s="11" t="s">
        <v>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11" t="s">
        <v>206</v>
      </c>
      <c r="G75" s="11" t="s">
        <v>229</v>
      </c>
      <c r="H75" s="11" t="s">
        <v>305</v>
      </c>
      <c r="I75" s="11">
        <v>4</v>
      </c>
      <c r="J75" s="11">
        <f>AVERAGE(Table1[[#This Row],[Autumn Week 1]:[Spring Week 12]])*4*Table1[[#This Row],[Credits]]</f>
        <v>1.3333333333333333</v>
      </c>
      <c r="K75" s="11"/>
      <c r="L75" s="18"/>
      <c r="M75" s="18"/>
      <c r="N75" s="18"/>
      <c r="O75" s="18"/>
      <c r="P75" s="18">
        <v>0.1</v>
      </c>
      <c r="Q75" s="19"/>
      <c r="R75" s="23"/>
      <c r="S75" s="23"/>
      <c r="T75" s="23">
        <v>-0.1</v>
      </c>
      <c r="U75" s="23">
        <v>0.1</v>
      </c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2.6666666666666665</v>
      </c>
    </row>
    <row r="76" spans="1:38">
      <c r="A76" s="4" t="s">
        <v>14</v>
      </c>
      <c r="B76" s="2" t="s">
        <v>13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211</v>
      </c>
      <c r="G76" s="11" t="s">
        <v>229</v>
      </c>
      <c r="H76" s="11" t="s">
        <v>311</v>
      </c>
      <c r="I76" s="11">
        <v>1</v>
      </c>
      <c r="J76" s="11">
        <f>AVERAGE(Table1[[#This Row],[Autumn Week 1]:[Spring Week 12]])*4*Table1[[#This Row],[Credits]]</f>
        <v>10</v>
      </c>
      <c r="K76" s="11">
        <v>9</v>
      </c>
      <c r="L76" s="18"/>
      <c r="M76" s="18"/>
      <c r="N76" s="18"/>
      <c r="O76" s="18">
        <v>0.25</v>
      </c>
      <c r="P76" s="18">
        <v>0.25</v>
      </c>
      <c r="Q76" s="18"/>
      <c r="R76" s="18">
        <v>0.25</v>
      </c>
      <c r="S76" s="18"/>
      <c r="T76" s="24"/>
      <c r="U76" s="19"/>
      <c r="V76" s="19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0.75</v>
      </c>
      <c r="AL76" s="27">
        <f>IF(Table1[[#This Row],[Hours]]&gt;0,Table1[[#This Row],[Hours]],Table1[[#This Row],[Nominal Hours]])*COUNTIF(Table1[[#This Row],[Autumn Week 1]:[Spring Week 12]],"&gt;0")</f>
        <v>27</v>
      </c>
    </row>
    <row r="77" spans="1:38">
      <c r="A77" s="4" t="s">
        <v>14</v>
      </c>
      <c r="B77" s="2" t="s">
        <v>13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261</v>
      </c>
      <c r="G77" s="11" t="s">
        <v>229</v>
      </c>
      <c r="H77" s="11" t="s">
        <v>311</v>
      </c>
      <c r="I77" s="11">
        <v>1</v>
      </c>
      <c r="J77" s="11">
        <f>AVERAGE(Table1[[#This Row],[Autumn Week 1]:[Spring Week 12]])*4*Table1[[#This Row],[Credits]]</f>
        <v>4</v>
      </c>
      <c r="K77" s="11">
        <v>0.5</v>
      </c>
      <c r="L77" s="18"/>
      <c r="M77" s="18"/>
      <c r="N77" s="18"/>
      <c r="O77" s="18"/>
      <c r="P77" s="18"/>
      <c r="Q77" s="18">
        <v>0.1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0.1</v>
      </c>
      <c r="AL77" s="27">
        <f>IF(Table1[[#This Row],[Hours]]&gt;0,Table1[[#This Row],[Hours]],Table1[[#This Row],[Nominal Hours]])*COUNTIF(Table1[[#This Row],[Autumn Week 1]:[Spring Week 12]],"&gt;0")</f>
        <v>0.5</v>
      </c>
    </row>
    <row r="78" spans="1:38">
      <c r="A78" s="4" t="s">
        <v>14</v>
      </c>
      <c r="B78" s="2" t="s">
        <v>13</v>
      </c>
      <c r="C78" s="11" t="s">
        <v>121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208</v>
      </c>
      <c r="G78" s="11" t="s">
        <v>229</v>
      </c>
      <c r="H78" s="11" t="s">
        <v>351</v>
      </c>
      <c r="I78" s="11">
        <v>5</v>
      </c>
      <c r="J78" s="11">
        <f>AVERAGE(Table1[[#This Row],[Autumn Week 1]:[Spring Week 12]])*4*Table1[[#This Row],[Credits]]</f>
        <v>6</v>
      </c>
      <c r="K78" s="11">
        <v>15</v>
      </c>
      <c r="L78" s="23"/>
      <c r="M78" s="23"/>
      <c r="N78" s="23"/>
      <c r="O78" s="23"/>
      <c r="P78" s="23"/>
      <c r="Q78" s="23"/>
      <c r="R78" s="23"/>
      <c r="S78" s="23"/>
      <c r="T78" s="23"/>
      <c r="U78" s="23">
        <v>0.15</v>
      </c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0.15</v>
      </c>
      <c r="AL78" s="27">
        <f>IF(Table1[[#This Row],[Hours]]&gt;0,Table1[[#This Row],[Hours]],Table1[[#This Row],[Nominal Hours]])*COUNTIF(Table1[[#This Row],[Autumn Week 1]:[Spring Week 12]],"&gt;0")</f>
        <v>15</v>
      </c>
    </row>
    <row r="79" spans="1:38">
      <c r="A79" s="4" t="s">
        <v>15</v>
      </c>
      <c r="B79" s="2" t="s">
        <v>145</v>
      </c>
      <c r="C79" s="11" t="s">
        <v>125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301</v>
      </c>
      <c r="G79" s="11" t="s">
        <v>220</v>
      </c>
      <c r="H79" s="11" t="s">
        <v>379</v>
      </c>
      <c r="I79" s="11">
        <v>1</v>
      </c>
      <c r="J79" s="11">
        <f>AVERAGE(Table1[[#This Row],[Autumn Week 1]:[Spring Week 12]])*4*Table1[[#This Row],[Credits]]</f>
        <v>2.125</v>
      </c>
      <c r="K79" s="11">
        <v>0.5</v>
      </c>
      <c r="L79" s="18">
        <v>2.5000000000000001E-2</v>
      </c>
      <c r="M79" s="18">
        <v>2.5000000000000001E-2</v>
      </c>
      <c r="N79" s="18">
        <v>2.5000000000000001E-2</v>
      </c>
      <c r="O79" s="18">
        <v>2.5000000000000001E-2</v>
      </c>
      <c r="P79" s="18"/>
      <c r="Q79" s="18"/>
      <c r="R79" s="18">
        <v>2.5000000000000001E-2</v>
      </c>
      <c r="S79" s="19">
        <v>0.25</v>
      </c>
      <c r="T79" s="18">
        <v>2.5000000000000001E-2</v>
      </c>
      <c r="U79" s="18">
        <v>2.5000000000000001E-2</v>
      </c>
      <c r="V79" s="18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0.42500000000000004</v>
      </c>
      <c r="AL79" s="27">
        <f>IF(Table1[[#This Row],[Hours]]&gt;0,Table1[[#This Row],[Hours]],Table1[[#This Row],[Nominal Hours]])*COUNTIF(Table1[[#This Row],[Autumn Week 1]:[Spring Week 12]],"&gt;0")</f>
        <v>4</v>
      </c>
    </row>
    <row r="80" spans="1:38">
      <c r="A80" s="4" t="s">
        <v>15</v>
      </c>
      <c r="B80" s="2" t="s">
        <v>145</v>
      </c>
      <c r="C80" s="11" t="s">
        <v>122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281</v>
      </c>
      <c r="G80" s="11" t="s">
        <v>229</v>
      </c>
      <c r="H80" s="11" t="s">
        <v>305</v>
      </c>
      <c r="I80" s="11">
        <v>1</v>
      </c>
      <c r="J80" s="11">
        <f>AVERAGE(Table1[[#This Row],[Autumn Week 1]:[Spring Week 12]])*4*Table1[[#This Row],[Credits]]</f>
        <v>4</v>
      </c>
      <c r="K80" s="11">
        <v>0.5</v>
      </c>
      <c r="L80" s="18"/>
      <c r="M80" s="18"/>
      <c r="N80" s="18"/>
      <c r="O80" s="19"/>
      <c r="P80" s="18">
        <v>0.1</v>
      </c>
      <c r="Q80" s="18"/>
      <c r="R80" s="18"/>
      <c r="S80" s="19"/>
      <c r="T80" s="18"/>
      <c r="U80" s="18"/>
      <c r="V80" s="18">
        <v>0.1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1</v>
      </c>
    </row>
    <row r="81" spans="1:38">
      <c r="A81" s="4" t="s">
        <v>15</v>
      </c>
      <c r="B81" s="2" t="s">
        <v>145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206</v>
      </c>
      <c r="G81" s="11" t="s">
        <v>229</v>
      </c>
      <c r="H81" s="11" t="s">
        <v>305</v>
      </c>
      <c r="I81" s="11">
        <v>4</v>
      </c>
      <c r="J81" s="11">
        <f>AVERAGE(Table1[[#This Row],[Autumn Week 1]:[Spring Week 12]])*4*Table1[[#This Row],[Credits]]</f>
        <v>16</v>
      </c>
      <c r="K81" s="11">
        <v>20</v>
      </c>
      <c r="L81" s="23"/>
      <c r="M81" s="23"/>
      <c r="N81" s="23"/>
      <c r="O81" s="23"/>
      <c r="P81" s="23"/>
      <c r="Q81" s="23">
        <v>0.35</v>
      </c>
      <c r="R81" s="23"/>
      <c r="S81" s="23"/>
      <c r="T81" s="23"/>
      <c r="U81" s="23">
        <v>0.45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0.8</v>
      </c>
      <c r="AL81" s="27">
        <f>IF(Table1[[#This Row],[Hours]]&gt;0,Table1[[#This Row],[Hours]],Table1[[#This Row],[Nominal Hours]])*COUNTIF(Table1[[#This Row],[Autumn Week 1]:[Spring Week 12]],"&gt;0")</f>
        <v>40</v>
      </c>
    </row>
    <row r="82" spans="1:38" ht="28">
      <c r="A82" s="4" t="s">
        <v>16</v>
      </c>
      <c r="B82" s="2" t="s">
        <v>17</v>
      </c>
      <c r="C82" s="11" t="s">
        <v>125</v>
      </c>
      <c r="D82" s="29">
        <f>INDEX(Table2[CA weight],MATCH(Table1[[#This Row],[Module Code]],Table2[Module Code],0))</f>
        <v>30</v>
      </c>
      <c r="E82" s="29">
        <f>INDEX(Table2[Credits],MATCH(Table1[[#This Row],[Module Code]],Table2[Module Code],0))</f>
        <v>10</v>
      </c>
      <c r="F82" s="37" t="s">
        <v>286</v>
      </c>
      <c r="G82" s="11" t="s">
        <v>229</v>
      </c>
      <c r="H82" s="11" t="s">
        <v>305</v>
      </c>
      <c r="I82" s="13">
        <v>1</v>
      </c>
      <c r="J82" s="11">
        <f>AVERAGE(Table1[[#This Row],[Autumn Week 1]:[Spring Week 12]])*4*Table1[[#This Row],[Credits]]</f>
        <v>0.39999999999999991</v>
      </c>
      <c r="K82" s="11">
        <v>0.5</v>
      </c>
      <c r="L82" s="25"/>
      <c r="M82" s="26">
        <v>0.01</v>
      </c>
      <c r="N82" s="26">
        <v>0.01</v>
      </c>
      <c r="O82" s="26">
        <v>0.01</v>
      </c>
      <c r="P82" s="26">
        <v>0.01</v>
      </c>
      <c r="Q82" s="26">
        <v>0.01</v>
      </c>
      <c r="R82" s="26">
        <v>0.01</v>
      </c>
      <c r="S82" s="26">
        <v>0.01</v>
      </c>
      <c r="T82" s="26">
        <v>0.01</v>
      </c>
      <c r="U82" s="26">
        <v>0.01</v>
      </c>
      <c r="V82" s="26">
        <v>0.01</v>
      </c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9.9999999999999992E-2</v>
      </c>
      <c r="AL82" s="27">
        <f>IF(Table1[[#This Row],[Hours]]&gt;0,Table1[[#This Row],[Hours]],Table1[[#This Row],[Nominal Hours]])*COUNTIF(Table1[[#This Row],[Autumn Week 1]:[Spring Week 12]],"&gt;0")</f>
        <v>5</v>
      </c>
    </row>
    <row r="83" spans="1:38">
      <c r="A83" s="4" t="s">
        <v>16</v>
      </c>
      <c r="B83" s="2" t="s">
        <v>17</v>
      </c>
      <c r="C83" s="13" t="s">
        <v>5</v>
      </c>
      <c r="D83" s="30">
        <f>INDEX(Table2[CA weight],MATCH(Table1[[#This Row],[Module Code]],Table2[Module Code],0))</f>
        <v>30</v>
      </c>
      <c r="E83" s="30">
        <f>INDEX(Table2[Credits],MATCH(Table1[[#This Row],[Module Code]],Table2[Module Code],0))</f>
        <v>10</v>
      </c>
      <c r="F83" s="13" t="s">
        <v>206</v>
      </c>
      <c r="G83" s="11" t="s">
        <v>229</v>
      </c>
      <c r="H83" s="11" t="s">
        <v>305</v>
      </c>
      <c r="I83" s="13">
        <v>4</v>
      </c>
      <c r="J83" s="11">
        <f>AVERAGE(Table1[[#This Row],[Autumn Week 1]:[Spring Week 12]])*4*Table1[[#This Row],[Credits]]</f>
        <v>0</v>
      </c>
      <c r="K83" s="13"/>
      <c r="L83" s="25"/>
      <c r="M83" s="26"/>
      <c r="N83" s="26"/>
      <c r="O83" s="26"/>
      <c r="P83" s="26"/>
      <c r="Q83" s="26"/>
      <c r="R83" s="26">
        <v>-0.2</v>
      </c>
      <c r="S83" s="26"/>
      <c r="T83" s="26">
        <v>0.2</v>
      </c>
      <c r="U83" s="26"/>
      <c r="V83" s="26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0</v>
      </c>
    </row>
    <row r="84" spans="1:38" ht="28">
      <c r="A84" s="4" t="s">
        <v>18</v>
      </c>
      <c r="B84" s="2" t="s">
        <v>19</v>
      </c>
      <c r="C84" s="11" t="s">
        <v>125</v>
      </c>
      <c r="D84" s="29">
        <f>INDEX(Table2[CA weight],MATCH(Table1[[#This Row],[Module Code]],Table2[Module Code],0))</f>
        <v>30</v>
      </c>
      <c r="E84" s="29">
        <f>INDEX(Table2[Credits],MATCH(Table1[[#This Row],[Module Code]],Table2[Module Code],0))</f>
        <v>10</v>
      </c>
      <c r="F84" s="37" t="s">
        <v>283</v>
      </c>
      <c r="G84" s="11" t="s">
        <v>229</v>
      </c>
      <c r="H84" s="11" t="s">
        <v>311</v>
      </c>
      <c r="I84" s="11">
        <v>1</v>
      </c>
      <c r="J84" s="11">
        <f>AVERAGE(Table1[[#This Row],[Autumn Week 1]:[Spring Week 12]])*4*Table1[[#This Row],[Credits]]</f>
        <v>1.2</v>
      </c>
      <c r="K84" s="11">
        <v>0.5</v>
      </c>
      <c r="L84" s="18">
        <v>0.03</v>
      </c>
      <c r="M84" s="18">
        <v>0.03</v>
      </c>
      <c r="N84" s="18">
        <v>0.03</v>
      </c>
      <c r="O84" s="18">
        <v>0.03</v>
      </c>
      <c r="P84" s="18">
        <v>0.03</v>
      </c>
      <c r="Q84" s="18"/>
      <c r="R84" s="18"/>
      <c r="S84" s="18"/>
      <c r="T84" s="18"/>
      <c r="U84" s="18"/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0.15</v>
      </c>
      <c r="AL84" s="27">
        <f>IF(Table1[[#This Row],[Hours]]&gt;0,Table1[[#This Row],[Hours]],Table1[[#This Row],[Nominal Hours]])*COUNTIF(Table1[[#This Row],[Autumn Week 1]:[Spring Week 12]],"&gt;0")</f>
        <v>2.5</v>
      </c>
    </row>
    <row r="85" spans="1:38" ht="28">
      <c r="A85" s="4" t="s">
        <v>18</v>
      </c>
      <c r="B85" s="2" t="s">
        <v>19</v>
      </c>
      <c r="C85" s="11" t="s">
        <v>125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37" t="s">
        <v>283</v>
      </c>
      <c r="G85" s="11" t="s">
        <v>229</v>
      </c>
      <c r="H85" s="11" t="s">
        <v>311</v>
      </c>
      <c r="I85" s="11">
        <v>1</v>
      </c>
      <c r="J85" s="11">
        <f>AVERAGE(Table1[[#This Row],[Autumn Week 1]:[Spring Week 12]])*4*Table1[[#This Row],[Credits]]</f>
        <v>1.2</v>
      </c>
      <c r="K85" s="11">
        <v>0.5</v>
      </c>
      <c r="L85" s="18"/>
      <c r="M85" s="18"/>
      <c r="N85" s="18"/>
      <c r="O85" s="19"/>
      <c r="P85" s="18"/>
      <c r="Q85" s="18">
        <v>0.03</v>
      </c>
      <c r="R85" s="18">
        <v>0.03</v>
      </c>
      <c r="S85" s="18">
        <v>0.03</v>
      </c>
      <c r="T85" s="18">
        <v>0.03</v>
      </c>
      <c r="U85" s="18">
        <v>0.03</v>
      </c>
      <c r="V85" s="18"/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24</v>
      </c>
      <c r="B86" s="2" t="s">
        <v>20</v>
      </c>
      <c r="C86" s="11" t="s">
        <v>121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375</v>
      </c>
      <c r="G86" s="11" t="s">
        <v>229</v>
      </c>
      <c r="H86" s="11" t="s">
        <v>305</v>
      </c>
      <c r="I86" s="11">
        <v>3</v>
      </c>
      <c r="J86" s="11">
        <f>AVERAGE(Table1[[#This Row],[Autumn Week 1]:[Spring Week 12]])*4*Table1[[#This Row],[Credits]]</f>
        <v>8</v>
      </c>
      <c r="K86" s="11"/>
      <c r="L86" s="18"/>
      <c r="M86" s="18"/>
      <c r="N86" s="18"/>
      <c r="O86" s="19">
        <v>0.2</v>
      </c>
      <c r="P86" s="18"/>
      <c r="Q86" s="18"/>
      <c r="R86" s="18"/>
      <c r="S86" s="19"/>
      <c r="T86" s="18"/>
      <c r="U86" s="18"/>
      <c r="V86" s="18"/>
      <c r="W86" s="19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24</v>
      </c>
      <c r="B87" s="2" t="s">
        <v>20</v>
      </c>
      <c r="C87" s="11" t="s">
        <v>121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376</v>
      </c>
      <c r="G87" s="11" t="s">
        <v>229</v>
      </c>
      <c r="H87" s="11" t="s">
        <v>327</v>
      </c>
      <c r="I87" s="11">
        <v>2</v>
      </c>
      <c r="J87" s="11">
        <f>AVERAGE(Table1[[#This Row],[Autumn Week 1]:[Spring Week 12]])*4*Table1[[#This Row],[Credits]]</f>
        <v>8</v>
      </c>
      <c r="K87" s="11"/>
      <c r="L87" s="18"/>
      <c r="M87" s="18"/>
      <c r="N87" s="18"/>
      <c r="O87" s="19"/>
      <c r="P87" s="18"/>
      <c r="Q87" s="18"/>
      <c r="R87" s="18">
        <v>0.2</v>
      </c>
      <c r="S87" s="19"/>
      <c r="T87" s="18"/>
      <c r="U87" s="18"/>
      <c r="V87" s="18"/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377</v>
      </c>
      <c r="G88" s="11" t="s">
        <v>229</v>
      </c>
      <c r="H88" s="11" t="s">
        <v>327</v>
      </c>
      <c r="I88" s="11">
        <v>4</v>
      </c>
      <c r="J88" s="11">
        <f>AVERAGE(Table1[[#This Row],[Autumn Week 1]:[Spring Week 12]])*4*Table1[[#This Row],[Credits]]</f>
        <v>8</v>
      </c>
      <c r="K88" s="11"/>
      <c r="L88" s="18"/>
      <c r="M88" s="18"/>
      <c r="N88" s="18"/>
      <c r="O88" s="19"/>
      <c r="P88" s="18"/>
      <c r="Q88" s="18"/>
      <c r="R88" s="18"/>
      <c r="S88" s="19"/>
      <c r="T88" s="18"/>
      <c r="U88" s="18"/>
      <c r="V88" s="18">
        <v>0.2</v>
      </c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122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378</v>
      </c>
      <c r="G89" s="11" t="s">
        <v>229</v>
      </c>
      <c r="H89" s="11" t="s">
        <v>305</v>
      </c>
      <c r="I89" s="11">
        <v>11</v>
      </c>
      <c r="J89" s="11">
        <f>AVERAGE(Table1[[#This Row],[Autumn Week 1]:[Spring Week 12]])*4*Table1[[#This Row],[Credits]]</f>
        <v>16</v>
      </c>
      <c r="K89" s="11"/>
      <c r="L89" s="18"/>
      <c r="M89" s="18"/>
      <c r="N89" s="18"/>
      <c r="O89" s="19"/>
      <c r="P89" s="18"/>
      <c r="Q89" s="18"/>
      <c r="R89" s="18"/>
      <c r="S89" s="19"/>
      <c r="T89" s="18"/>
      <c r="U89" s="18"/>
      <c r="V89" s="18"/>
      <c r="W89" s="19">
        <v>0.4</v>
      </c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0.4</v>
      </c>
      <c r="AL89" s="27">
        <f>IF(Table1[[#This Row],[Hours]]&gt;0,Table1[[#This Row],[Hours]],Table1[[#This Row],[Nominal Hours]])*COUNTIF(Table1[[#This Row],[Autumn Week 1]:[Spring Week 12]],"&gt;0")</f>
        <v>16</v>
      </c>
    </row>
    <row r="90" spans="1:38">
      <c r="A90" s="8" t="s">
        <v>21</v>
      </c>
      <c r="B90" s="2" t="s">
        <v>22</v>
      </c>
      <c r="C90" s="11" t="s">
        <v>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11" t="s">
        <v>208</v>
      </c>
      <c r="G90" s="11" t="s">
        <v>229</v>
      </c>
      <c r="H90" s="11" t="s">
        <v>305</v>
      </c>
      <c r="I90" s="11">
        <v>4</v>
      </c>
      <c r="J90" s="11">
        <f>AVERAGE(Table1[[#This Row],[Autumn Week 1]:[Spring Week 12]])*4*Table1[[#This Row],[Credits]]</f>
        <v>4</v>
      </c>
      <c r="K90" s="11"/>
      <c r="L90" s="18"/>
      <c r="M90" s="18"/>
      <c r="N90" s="18"/>
      <c r="O90" s="18"/>
      <c r="P90" s="18"/>
      <c r="Q90" s="18"/>
      <c r="R90" s="18">
        <v>0.1</v>
      </c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>
      <c r="A91" s="8" t="s">
        <v>21</v>
      </c>
      <c r="B91" s="2" t="s">
        <v>22</v>
      </c>
      <c r="C91" s="11"/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11" t="s">
        <v>206</v>
      </c>
      <c r="G91" s="11" t="s">
        <v>229</v>
      </c>
      <c r="H91" s="11" t="s">
        <v>305</v>
      </c>
      <c r="I91" s="11">
        <v>4</v>
      </c>
      <c r="J91" s="11">
        <f>AVERAGE(Table1[[#This Row],[Autumn Week 1]:[Spring Week 12]])*4*Table1[[#This Row],[Credits]]</f>
        <v>4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>
        <v>0.1</v>
      </c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3" t="s">
        <v>106</v>
      </c>
      <c r="B92" s="3" t="s">
        <v>96</v>
      </c>
      <c r="C92" s="11" t="s">
        <v>125</v>
      </c>
      <c r="D92" s="29">
        <f>INDEX(Table2[CA weight],MATCH(Table1[[#This Row],[Module Code]],Table2[Module Code],0))</f>
        <v>30</v>
      </c>
      <c r="E92" s="29">
        <f>INDEX(Table2[Credits],MATCH(Table1[[#This Row],[Module Code]],Table2[Module Code],0))</f>
        <v>20</v>
      </c>
      <c r="F92" s="11" t="s">
        <v>301</v>
      </c>
      <c r="G92" s="11" t="s">
        <v>220</v>
      </c>
      <c r="H92" s="11" t="s">
        <v>380</v>
      </c>
      <c r="I92" s="11">
        <v>1</v>
      </c>
      <c r="J92" s="11">
        <f>AVERAGE(Table1[[#This Row],[Autumn Week 1]:[Spring Week 12]])*4*Table1[[#This Row],[Credits]]</f>
        <v>0.56000000000000005</v>
      </c>
      <c r="K92" s="11">
        <v>0.5</v>
      </c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/>
      <c r="W92" s="19"/>
      <c r="X92" s="20">
        <v>7.0000000000000001E-3</v>
      </c>
      <c r="Y92" s="20">
        <v>7.0000000000000001E-3</v>
      </c>
      <c r="Z92" s="20">
        <v>7.0000000000000001E-3</v>
      </c>
      <c r="AA92" s="20">
        <v>7.0000000000000001E-3</v>
      </c>
      <c r="AB92" s="20">
        <v>7.0000000000000001E-3</v>
      </c>
      <c r="AC92" s="20">
        <v>7.0000000000000001E-3</v>
      </c>
      <c r="AD92" s="20">
        <v>7.0000000000000001E-3</v>
      </c>
      <c r="AE92" s="20">
        <v>7.0000000000000001E-3</v>
      </c>
      <c r="AF92" s="20">
        <v>7.0000000000000001E-3</v>
      </c>
      <c r="AG92" s="20">
        <v>7.0000000000000001E-3</v>
      </c>
      <c r="AH92" s="20"/>
      <c r="AI92" s="20"/>
      <c r="AJ92" s="20"/>
      <c r="AK92" s="27">
        <f>SUMIF(Table1[[#This Row],[Autumn Week 1]:[Spring Week 12]],"&gt;0",Table1[[#This Row],[Autumn Week 1]:[Spring Week 12]])</f>
        <v>7.0000000000000007E-2</v>
      </c>
      <c r="AL92" s="27">
        <f>IF(Table1[[#This Row],[Hours]]&gt;0,Table1[[#This Row],[Hours]],Table1[[#This Row],[Nominal Hours]])*COUNTIF(Table1[[#This Row],[Autumn Week 1]:[Spring Week 12]],"&gt;0")</f>
        <v>5</v>
      </c>
    </row>
    <row r="93" spans="1:38" ht="28">
      <c r="A93" s="3" t="s">
        <v>106</v>
      </c>
      <c r="B93" s="3" t="s">
        <v>96</v>
      </c>
      <c r="C93" s="11" t="s">
        <v>122</v>
      </c>
      <c r="D93" s="29">
        <f>INDEX(Table2[CA weight],MATCH(Table1[[#This Row],[Module Code]],Table2[Module Code],0))</f>
        <v>30</v>
      </c>
      <c r="E93" s="29">
        <f>INDEX(Table2[Credits],MATCH(Table1[[#This Row],[Module Code]],Table2[Module Code],0))</f>
        <v>20</v>
      </c>
      <c r="F93" s="37" t="s">
        <v>284</v>
      </c>
      <c r="G93" s="11" t="s">
        <v>229</v>
      </c>
      <c r="H93" s="11" t="s">
        <v>305</v>
      </c>
      <c r="I93" s="11">
        <v>1</v>
      </c>
      <c r="J93" s="11">
        <f>AVERAGE(Table1[[#This Row],[Autumn Week 1]:[Spring Week 12]])*4*Table1[[#This Row],[Credits]]</f>
        <v>5.6000000000000005</v>
      </c>
      <c r="K93" s="11">
        <v>0.5</v>
      </c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>
        <v>7.0000000000000007E-2</v>
      </c>
      <c r="AI93" s="20"/>
      <c r="AJ93" s="20"/>
      <c r="AK93" s="27">
        <f>SUMIF(Table1[[#This Row],[Autumn Week 1]:[Spring Week 12]],"&gt;0",Table1[[#This Row],[Autumn Week 1]:[Spring Week 12]])</f>
        <v>7.0000000000000007E-2</v>
      </c>
      <c r="AL93" s="27">
        <f>IF(Table1[[#This Row],[Hours]]&gt;0,Table1[[#This Row],[Hours]],Table1[[#This Row],[Nominal Hours]])*COUNTIF(Table1[[#This Row],[Autumn Week 1]:[Spring Week 12]],"&gt;0")</f>
        <v>0.5</v>
      </c>
    </row>
    <row r="94" spans="1:38">
      <c r="A94" s="3" t="s">
        <v>106</v>
      </c>
      <c r="B94" s="3" t="s">
        <v>96</v>
      </c>
      <c r="C94" s="12" t="s">
        <v>5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2" t="s">
        <v>206</v>
      </c>
      <c r="G94" s="11" t="s">
        <v>229</v>
      </c>
      <c r="H94" s="11" t="s">
        <v>351</v>
      </c>
      <c r="I94" s="11">
        <v>3</v>
      </c>
      <c r="J94" s="11">
        <f>AVERAGE(Table1[[#This Row],[Autumn Week 1]:[Spring Week 12]])*4*Table1[[#This Row],[Credits]]</f>
        <v>6.1333333333333337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/>
      <c r="Y94" s="20"/>
      <c r="Z94" s="20"/>
      <c r="AA94" s="20"/>
      <c r="AB94" s="20">
        <v>0.09</v>
      </c>
      <c r="AC94" s="20"/>
      <c r="AD94" s="20"/>
      <c r="AE94" s="20">
        <v>7.0000000000000007E-2</v>
      </c>
      <c r="AF94" s="20"/>
      <c r="AG94" s="20"/>
      <c r="AH94" s="20">
        <v>7.0000000000000007E-2</v>
      </c>
      <c r="AI94" s="20"/>
      <c r="AJ94" s="20"/>
      <c r="AK94" s="27">
        <f>SUMIF(Table1[[#This Row],[Autumn Week 1]:[Spring Week 12]],"&gt;0",Table1[[#This Row],[Autumn Week 1]:[Spring Week 12]])</f>
        <v>0.23</v>
      </c>
      <c r="AL94" s="27">
        <f>IF(Table1[[#This Row],[Hours]]&gt;0,Table1[[#This Row],[Hours]],Table1[[#This Row],[Nominal Hours]])*COUNTIF(Table1[[#This Row],[Autumn Week 1]:[Spring Week 12]],"&gt;0")</f>
        <v>18.400000000000002</v>
      </c>
    </row>
    <row r="95" spans="1:38">
      <c r="A95" s="3" t="s">
        <v>188</v>
      </c>
      <c r="B95" s="3" t="s">
        <v>97</v>
      </c>
      <c r="C95" s="12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2" t="s">
        <v>206</v>
      </c>
      <c r="G95" s="11" t="s">
        <v>229</v>
      </c>
      <c r="H95" s="11" t="s">
        <v>351</v>
      </c>
      <c r="I95" s="11">
        <v>6</v>
      </c>
      <c r="J95" s="11">
        <f>AVERAGE(Table1[[#This Row],[Autumn Week 1]:[Spring Week 12]])*4*Table1[[#This Row],[Credits]]</f>
        <v>8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>
        <v>0.2</v>
      </c>
      <c r="AH95" s="20"/>
      <c r="AI95" s="20"/>
      <c r="AJ95" s="20"/>
      <c r="AK95" s="27">
        <f>SUMIF(Table1[[#This Row],[Autumn Week 1]:[Spring Week 12]],"&gt;0",Table1[[#This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3" t="s">
        <v>108</v>
      </c>
      <c r="B96" s="3" t="s">
        <v>362</v>
      </c>
      <c r="C96" s="12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2" t="s">
        <v>363</v>
      </c>
      <c r="G96" s="11" t="s">
        <v>229</v>
      </c>
      <c r="H96" s="11" t="s">
        <v>327</v>
      </c>
      <c r="I96" s="11">
        <v>3</v>
      </c>
      <c r="J96" s="11">
        <f>AVERAGE(Table1[[#This Row],[Autumn Week 1]:[Spring Week 12]])*4*Table1[[#This Row],[Credits]]</f>
        <v>1.6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0.04</v>
      </c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0.04</v>
      </c>
      <c r="AL96" s="27">
        <f>IF(Table1[[#This Row],[Hours]]&gt;0,Table1[[#This Row],[Hours]],Table1[[#This Row],[Nominal Hours]])*COUNTIF(Table1[[#This Row],[Autumn Week 1]:[Spring Week 12]],"&gt;0")</f>
        <v>1.6</v>
      </c>
    </row>
    <row r="97" spans="1:38" ht="28">
      <c r="A97" s="3" t="s">
        <v>108</v>
      </c>
      <c r="B97" s="3" t="s">
        <v>362</v>
      </c>
      <c r="C97" s="12" t="s">
        <v>121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45" t="s">
        <v>364</v>
      </c>
      <c r="G97" s="11" t="s">
        <v>229</v>
      </c>
      <c r="H97" s="11" t="s">
        <v>327</v>
      </c>
      <c r="I97" s="11">
        <v>6</v>
      </c>
      <c r="J97" s="11">
        <f>AVERAGE(Table1[[#This Row],[Autumn Week 1]:[Spring Week 12]])*4*Table1[[#This Row],[Credits]]</f>
        <v>6.4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>
        <v>0.16</v>
      </c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0.16</v>
      </c>
      <c r="AL97" s="27">
        <f>IF(Table1[[#This Row],[Hours]]&gt;0,Table1[[#This Row],[Hours]],Table1[[#This Row],[Nominal Hours]])*COUNTIF(Table1[[#This Row],[Autumn Week 1]:[Spring Week 12]],"&gt;0")</f>
        <v>6.4</v>
      </c>
    </row>
    <row r="98" spans="1:38">
      <c r="A98" s="3" t="s">
        <v>189</v>
      </c>
      <c r="B98" s="3" t="s">
        <v>98</v>
      </c>
      <c r="C98" s="12" t="s">
        <v>5</v>
      </c>
      <c r="D98" s="29">
        <f>INDEX(Table2[CA weight],MATCH(Table1[[#This Row],[Module Code]],Table2[Module Code],0))</f>
        <v>40</v>
      </c>
      <c r="E98" s="29">
        <f>INDEX(Table2[Credits],MATCH(Table1[[#This Row],[Module Code]],Table2[Module Code],0))</f>
        <v>10</v>
      </c>
      <c r="F98" s="12" t="s">
        <v>206</v>
      </c>
      <c r="G98" s="11" t="s">
        <v>229</v>
      </c>
      <c r="H98" s="11" t="s">
        <v>351</v>
      </c>
      <c r="I98" s="11">
        <v>6</v>
      </c>
      <c r="J98" s="11">
        <f>AVERAGE(Table1[[#This Row],[Autumn Week 1]:[Spring Week 12]])*4*Table1[[#This Row],[Credits]]</f>
        <v>8</v>
      </c>
      <c r="K98" s="11">
        <v>15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>
        <v>0.2</v>
      </c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0.2</v>
      </c>
      <c r="AL98" s="27">
        <f>IF(Table1[[#This Row],[Hours]]&gt;0,Table1[[#This Row],[Hours]],Table1[[#This Row],[Nominal Hours]])*COUNTIF(Table1[[#This Row],[Autumn Week 1]:[Spring Week 12]],"&gt;0")</f>
        <v>15</v>
      </c>
    </row>
    <row r="99" spans="1:38">
      <c r="A99" s="3" t="s">
        <v>189</v>
      </c>
      <c r="B99" s="3" t="s">
        <v>98</v>
      </c>
      <c r="C99" s="12" t="s">
        <v>121</v>
      </c>
      <c r="D99" s="29">
        <f>INDEX(Table2[CA weight],MATCH(Table1[[#This Row],[Module Code]],Table2[Module Code],0))</f>
        <v>40</v>
      </c>
      <c r="E99" s="29">
        <f>INDEX(Table2[Credits],MATCH(Table1[[#This Row],[Module Code]],Table2[Module Code],0))</f>
        <v>10</v>
      </c>
      <c r="F99" s="12" t="s">
        <v>285</v>
      </c>
      <c r="G99" s="11" t="s">
        <v>229</v>
      </c>
      <c r="H99" s="11" t="s">
        <v>305</v>
      </c>
      <c r="I99" s="11">
        <v>2</v>
      </c>
      <c r="J99" s="11">
        <f>AVERAGE(Table1[[#This Row],[Autumn Week 1]:[Spring Week 12]])*4*Table1[[#This Row],[Credits]]</f>
        <v>8</v>
      </c>
      <c r="K99" s="11">
        <v>15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0.2</v>
      </c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15</v>
      </c>
    </row>
    <row r="100" spans="1:38">
      <c r="A100" s="3" t="s">
        <v>109</v>
      </c>
      <c r="B100" s="3" t="s">
        <v>99</v>
      </c>
      <c r="C100" s="12" t="s">
        <v>5</v>
      </c>
      <c r="D100" s="29">
        <f>INDEX(Table2[CA weight],MATCH(Table1[[#This Row],[Module Code]],Table2[Module Code],0))</f>
        <v>100</v>
      </c>
      <c r="E100" s="29">
        <f>INDEX(Table2[Credits],MATCH(Table1[[#This Row],[Module Code]],Table2[Module Code],0))</f>
        <v>10</v>
      </c>
      <c r="F100" s="12" t="s">
        <v>210</v>
      </c>
      <c r="G100" s="11" t="s">
        <v>229</v>
      </c>
      <c r="H100" s="11" t="s">
        <v>305</v>
      </c>
      <c r="I100" s="11">
        <v>11</v>
      </c>
      <c r="J100" s="11">
        <f>AVERAGE(Table1[[#This Row],[Autumn Week 1]:[Spring Week 12]])*4*Table1[[#This Row],[Credits]]</f>
        <v>28</v>
      </c>
      <c r="K100" s="11">
        <v>30</v>
      </c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>
        <v>0.7</v>
      </c>
      <c r="AJ100" s="20"/>
      <c r="AK100" s="27">
        <f>SUMIF(Table1[[#This Row],[Autumn Week 1]:[Spring Week 12]],"&gt;0",Table1[[#This Row],[Autumn Week 1]:[Spring Week 12]])</f>
        <v>0.7</v>
      </c>
      <c r="AL100" s="27">
        <f>IF(Table1[[#This Row],[Hours]]&gt;0,Table1[[#This Row],[Hours]],Table1[[#This Row],[Nominal Hours]])*COUNTIF(Table1[[#This Row],[Autumn Week 1]:[Spring Week 12]],"&gt;0")</f>
        <v>30</v>
      </c>
    </row>
    <row r="101" spans="1:38">
      <c r="A101" s="3" t="s">
        <v>109</v>
      </c>
      <c r="B101" s="3" t="s">
        <v>99</v>
      </c>
      <c r="C101" s="12" t="s">
        <v>121</v>
      </c>
      <c r="D101" s="29">
        <f>INDEX(Table2[CA weight],MATCH(Table1[[#This Row],[Module Code]],Table2[Module Code],0))</f>
        <v>100</v>
      </c>
      <c r="E101" s="29">
        <f>INDEX(Table2[Credits],MATCH(Table1[[#This Row],[Module Code]],Table2[Module Code],0))</f>
        <v>10</v>
      </c>
      <c r="F101" s="12" t="s">
        <v>342</v>
      </c>
      <c r="G101" s="11" t="s">
        <v>229</v>
      </c>
      <c r="H101" s="11" t="s">
        <v>305</v>
      </c>
      <c r="I101" s="11">
        <v>11</v>
      </c>
      <c r="J101" s="11">
        <f>AVERAGE(Table1[[#This Row],[Autumn Week 1]:[Spring Week 12]])*4*Table1[[#This Row],[Credits]]</f>
        <v>8</v>
      </c>
      <c r="K101" s="11">
        <v>15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>
        <v>0.2</v>
      </c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15</v>
      </c>
    </row>
    <row r="102" spans="1:38">
      <c r="A102" s="3" t="s">
        <v>109</v>
      </c>
      <c r="B102" s="3" t="s">
        <v>99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260</v>
      </c>
      <c r="G102" s="11" t="s">
        <v>229</v>
      </c>
      <c r="H102" s="11" t="s">
        <v>305</v>
      </c>
      <c r="I102" s="11">
        <v>11</v>
      </c>
      <c r="J102" s="11">
        <f>AVERAGE(Table1[[#This Row],[Autumn Week 1]:[Spring Week 12]])*4*Table1[[#This Row],[Credits]]</f>
        <v>4</v>
      </c>
      <c r="K102" s="11">
        <v>10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0.1</v>
      </c>
      <c r="AJ102" s="20"/>
      <c r="AK102" s="27">
        <f>SUMIF(Table1[[#This Row],[Autumn Week 1]:[Spring Week 12]],"&gt;0",Table1[[#This Row],[Autumn Week 1]:[Spring Week 12]])</f>
        <v>0.1</v>
      </c>
      <c r="AL102" s="27">
        <f>IF(Table1[[#This Row],[Hours]]&gt;0,Table1[[#This Row],[Hours]],Table1[[#This Row],[Nominal Hours]])*COUNTIF(Table1[[#This Row],[Autumn Week 1]:[Spring Week 12]],"&gt;0")</f>
        <v>10</v>
      </c>
    </row>
    <row r="103" spans="1:38">
      <c r="A103" s="3" t="s">
        <v>100</v>
      </c>
      <c r="B103" s="3" t="s">
        <v>101</v>
      </c>
      <c r="C103" s="12" t="s">
        <v>5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351</v>
      </c>
      <c r="I103" s="11">
        <v>6</v>
      </c>
      <c r="J103" s="11">
        <f>AVERAGE(Table1[[#This Row],[Autumn Week 1]:[Spring Week 12]])*4*Table1[[#This Row],[Credits]]</f>
        <v>8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>
        <v>0.2</v>
      </c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8</v>
      </c>
    </row>
    <row r="104" spans="1:38">
      <c r="A104" s="3" t="s">
        <v>102</v>
      </c>
      <c r="B104" s="3" t="s">
        <v>103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305</v>
      </c>
      <c r="I104" s="11">
        <v>2</v>
      </c>
      <c r="J104" s="11">
        <f>AVERAGE(Table1[[#This Row],[Autumn Week 1]:[Spring Week 12]])*4*Table1[[#This Row],[Credits]]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>
        <v>0.2</v>
      </c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104</v>
      </c>
      <c r="B105" s="3" t="s">
        <v>105</v>
      </c>
      <c r="C105" s="12" t="s">
        <v>121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208</v>
      </c>
      <c r="G105" s="11" t="s">
        <v>229</v>
      </c>
      <c r="H105" s="11" t="s">
        <v>327</v>
      </c>
      <c r="I105" s="11">
        <v>4</v>
      </c>
      <c r="J105" s="11">
        <f>AVERAGE(Table1[[#This Row],[Autumn Week 1]:[Spring Week 12]])*4*Table1[[#This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0.2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47</v>
      </c>
      <c r="B106" s="2" t="s">
        <v>23</v>
      </c>
      <c r="C106" s="12" t="s">
        <v>123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30</v>
      </c>
      <c r="F106" s="12" t="s">
        <v>230</v>
      </c>
      <c r="G106" s="11" t="s">
        <v>344</v>
      </c>
      <c r="H106" s="11" t="s">
        <v>366</v>
      </c>
      <c r="I106" s="11">
        <v>1</v>
      </c>
      <c r="J106" s="11">
        <f>AVERAGE(Table1[[#This Row],[Autumn Week 1]:[Spring Week 12]])*4*Table1[[#This Row],[Credits]]</f>
        <v>4.9999999999999982</v>
      </c>
      <c r="K106" s="11">
        <v>10</v>
      </c>
      <c r="L106" s="18">
        <f>1/24</f>
        <v>4.1666666666666664E-2</v>
      </c>
      <c r="M106" s="18">
        <v>4.1666666666666664E-2</v>
      </c>
      <c r="N106" s="18">
        <v>4.1666666666666664E-2</v>
      </c>
      <c r="O106" s="18">
        <v>4.1666666666666664E-2</v>
      </c>
      <c r="P106" s="18">
        <v>4.1666666666666664E-2</v>
      </c>
      <c r="Q106" s="18">
        <v>4.1666666666666664E-2</v>
      </c>
      <c r="R106" s="18">
        <v>4.1666666666666664E-2</v>
      </c>
      <c r="S106" s="18">
        <v>4.1666666666666664E-2</v>
      </c>
      <c r="T106" s="18">
        <v>4.1666666666666664E-2</v>
      </c>
      <c r="U106" s="18">
        <v>4.1666666666666664E-2</v>
      </c>
      <c r="V106" s="18">
        <v>4.1666666666666664E-2</v>
      </c>
      <c r="W106" s="19">
        <v>4.1666666666666664E-2</v>
      </c>
      <c r="X106" s="20">
        <v>4.1666666666666664E-2</v>
      </c>
      <c r="Y106" s="20">
        <v>4.1666666666666664E-2</v>
      </c>
      <c r="Z106" s="20">
        <v>4.1666666666666664E-2</v>
      </c>
      <c r="AA106" s="20">
        <v>4.1666666666666664E-2</v>
      </c>
      <c r="AB106" s="20">
        <v>4.1666666666666664E-2</v>
      </c>
      <c r="AC106" s="20">
        <v>4.1666666666666664E-2</v>
      </c>
      <c r="AD106" s="20">
        <v>4.1666666666666664E-2</v>
      </c>
      <c r="AE106" s="20">
        <v>4.1666666666666664E-2</v>
      </c>
      <c r="AF106" s="20">
        <v>4.1666666666666664E-2</v>
      </c>
      <c r="AG106" s="20">
        <v>4.1666666666666664E-2</v>
      </c>
      <c r="AH106" s="20">
        <v>4.1666666666666664E-2</v>
      </c>
      <c r="AI106" s="20">
        <v>4.1666666666666664E-2</v>
      </c>
      <c r="AJ106" s="20"/>
      <c r="AK106" s="27">
        <f>SUMIF(Table1[[#This Row],[Autumn Week 1]:[Spring Week 12]],"&gt;0",Table1[[#This Row],[Autumn Week 1]:[Spring Week 12]])</f>
        <v>0.99999999999999956</v>
      </c>
      <c r="AL106" s="27">
        <f>IF(Table1[[#This Row],[Hours]]&gt;0,Table1[[#This Row],[Hours]],Table1[[#This Row],[Nominal Hours]])*COUNTIF(Table1[[#This Row],[Autumn Week 1]:[Spring Week 12]],"&gt;0")</f>
        <v>240</v>
      </c>
    </row>
    <row r="107" spans="1:38">
      <c r="A107" s="9" t="s">
        <v>47</v>
      </c>
      <c r="B107" s="2" t="s">
        <v>23</v>
      </c>
      <c r="C107" s="12" t="s">
        <v>122</v>
      </c>
      <c r="D107" s="30">
        <f>INDEX(Table2[CA weight],MATCH(Table1[[#This Row],[Module Code]],Table2[Module Code],0))</f>
        <v>100</v>
      </c>
      <c r="E107" s="30">
        <f>INDEX(Table2[Credits],MATCH(Table1[[#This Row],[Module Code]],Table2[Module Code],0))</f>
        <v>30</v>
      </c>
      <c r="F107" s="12" t="s">
        <v>338</v>
      </c>
      <c r="G107" s="11" t="s">
        <v>220</v>
      </c>
      <c r="H107" s="11" t="s">
        <v>305</v>
      </c>
      <c r="I107" s="11">
        <v>1</v>
      </c>
      <c r="J107" s="11">
        <f>AVERAGE(Table1[[#This Row],[Autumn Week 1]:[Spring Week 12]])*4*Table1[[#This Row],[Credits]]</f>
        <v>8</v>
      </c>
      <c r="K107" s="11">
        <v>0.1</v>
      </c>
      <c r="L107" s="18"/>
      <c r="M107" s="18"/>
      <c r="N107" s="18"/>
      <c r="O107" s="19"/>
      <c r="P107" s="18"/>
      <c r="Q107" s="18">
        <v>0.05</v>
      </c>
      <c r="R107" s="18"/>
      <c r="S107" s="19"/>
      <c r="T107" s="18"/>
      <c r="U107" s="18"/>
      <c r="V107" s="18">
        <v>0.05</v>
      </c>
      <c r="W107" s="19"/>
      <c r="X107" s="20"/>
      <c r="Y107" s="20"/>
      <c r="Z107" s="20"/>
      <c r="AA107" s="20"/>
      <c r="AB107" s="20"/>
      <c r="AC107" s="20">
        <v>0.1</v>
      </c>
      <c r="AD107" s="20"/>
      <c r="AE107" s="20"/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0.30000000000000004</v>
      </c>
    </row>
    <row r="108" spans="1:38">
      <c r="A108" s="9" t="s">
        <v>47</v>
      </c>
      <c r="B108" s="2" t="s">
        <v>23</v>
      </c>
      <c r="C108" s="13" t="s">
        <v>122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3" t="s">
        <v>365</v>
      </c>
      <c r="G108" s="11" t="s">
        <v>229</v>
      </c>
      <c r="H108" s="11" t="s">
        <v>305</v>
      </c>
      <c r="I108" s="13">
        <v>1</v>
      </c>
      <c r="J108" s="11">
        <f>AVERAGE(Table1[[#This Row],[Autumn Week 1]:[Spring Week 12]])*4*Table1[[#This Row],[Credits]]</f>
        <v>48</v>
      </c>
      <c r="K108" s="13">
        <v>0.1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0.4</v>
      </c>
      <c r="AI108" s="20"/>
      <c r="AJ108" s="20"/>
      <c r="AK108" s="27">
        <f>SUMIF(Table1[[#This Row],[Autumn Week 1]:[Spring Week 12]],"&gt;0",Table1[[#This Row],[Autumn Week 1]:[Spring Week 12]])</f>
        <v>0.4</v>
      </c>
      <c r="AL108" s="27">
        <f>IF(Table1[[#This Row],[Hours]]&gt;0,Table1[[#This Row],[Hours]],Table1[[#This Row],[Nominal Hours]])*COUNTIF(Table1[[#This Row],[Autumn Week 1]:[Spring Week 12]],"&gt;0")</f>
        <v>0.1</v>
      </c>
    </row>
    <row r="109" spans="1:38">
      <c r="A109" s="9" t="s">
        <v>47</v>
      </c>
      <c r="B109" s="2" t="s">
        <v>23</v>
      </c>
      <c r="C109" s="11" t="s">
        <v>123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1" t="s">
        <v>341</v>
      </c>
      <c r="G109" s="11" t="s">
        <v>220</v>
      </c>
      <c r="H109" s="11" t="s">
        <v>305</v>
      </c>
      <c r="I109" s="11">
        <v>11</v>
      </c>
      <c r="J109" s="11">
        <f>AVERAGE(Table1[[#This Row],[Autumn Week 1]:[Spring Week 12]])*4*Table1[[#This Row],[Credits]]</f>
        <v>24</v>
      </c>
      <c r="K109" s="11">
        <v>10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>
        <v>0.2</v>
      </c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10</v>
      </c>
    </row>
    <row r="110" spans="1:38">
      <c r="A110" s="9" t="s">
        <v>47</v>
      </c>
      <c r="B110" s="2" t="s">
        <v>23</v>
      </c>
      <c r="C110" s="11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1" t="s">
        <v>349</v>
      </c>
      <c r="G110" s="11" t="s">
        <v>229</v>
      </c>
      <c r="H110" s="11" t="s">
        <v>305</v>
      </c>
      <c r="I110" s="11">
        <v>11</v>
      </c>
      <c r="J110" s="11">
        <f>AVERAGE(Table1[[#This Row],[Autumn Week 1]:[Spring Week 12]])*4*Table1[[#This Row],[Credits]]</f>
        <v>48</v>
      </c>
      <c r="K110" s="11">
        <v>10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SUMIF(Table1[[#This Row],[Autumn Week 1]:[Spring Week 12]],"&gt;0",Table1[[#This Row],[Autumn Week 1]:[Spring Week 12]])</f>
        <v>0.4</v>
      </c>
      <c r="AL110" s="27">
        <f>IF(Table1[[#This Row],[Hours]]&gt;0,Table1[[#This Row],[Hours]],Table1[[#This Row],[Nominal Hours]])*COUNTIF(Table1[[#This Row],[Autumn Week 1]:[Spring Week 12]],"&gt;0")</f>
        <v>10</v>
      </c>
    </row>
    <row r="111" spans="1:38">
      <c r="A111" s="9" t="s">
        <v>47</v>
      </c>
      <c r="B111" s="2" t="s">
        <v>23</v>
      </c>
      <c r="C111" s="11" t="s">
        <v>121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208</v>
      </c>
      <c r="G111" s="11" t="s">
        <v>229</v>
      </c>
      <c r="H111" s="11" t="s">
        <v>315</v>
      </c>
      <c r="I111" s="11">
        <v>6</v>
      </c>
      <c r="J111" s="11">
        <f>AVERAGE(Table1[[#This Row],[Autumn Week 1]:[Spring Week 12]])*4*Table1[[#This Row],[Credits]]</f>
        <v>24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>
        <v>0.2</v>
      </c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 ht="28">
      <c r="A112" s="4" t="s">
        <v>61</v>
      </c>
      <c r="B112" s="2" t="s">
        <v>62</v>
      </c>
      <c r="C112" s="11" t="s">
        <v>125</v>
      </c>
      <c r="D112" s="29">
        <f>INDEX(Table2[CA weight],MATCH(Table1[[#This Row],[Module Code]],Table2[Module Code],0))</f>
        <v>30</v>
      </c>
      <c r="E112" s="29">
        <f>INDEX(Table2[Credits],MATCH(Table1[[#This Row],[Module Code]],Table2[Module Code],0))</f>
        <v>10</v>
      </c>
      <c r="F112" s="37" t="s">
        <v>286</v>
      </c>
      <c r="G112" s="11" t="s">
        <v>229</v>
      </c>
      <c r="H112" s="11" t="s">
        <v>305</v>
      </c>
      <c r="I112" s="11">
        <v>4</v>
      </c>
      <c r="J112" s="11">
        <f>AVERAGE(Table1[[#This Row],[Autumn Week 1]:[Spring Week 12]])*4*Table1[[#This Row],[Credits]]</f>
        <v>0.39999999999999991</v>
      </c>
      <c r="K112" s="11">
        <v>0.5</v>
      </c>
      <c r="L112" s="18"/>
      <c r="M112" s="18">
        <f t="shared" ref="M112:V112" si="2">0.1/10</f>
        <v>0.01</v>
      </c>
      <c r="N112" s="18">
        <f t="shared" si="2"/>
        <v>0.01</v>
      </c>
      <c r="O112" s="18">
        <f t="shared" si="2"/>
        <v>0.01</v>
      </c>
      <c r="P112" s="18">
        <f t="shared" si="2"/>
        <v>0.01</v>
      </c>
      <c r="Q112" s="18">
        <f t="shared" si="2"/>
        <v>0.01</v>
      </c>
      <c r="R112" s="18">
        <f t="shared" si="2"/>
        <v>0.01</v>
      </c>
      <c r="S112" s="18">
        <f t="shared" si="2"/>
        <v>0.01</v>
      </c>
      <c r="T112" s="18">
        <f t="shared" si="2"/>
        <v>0.01</v>
      </c>
      <c r="U112" s="18">
        <f t="shared" si="2"/>
        <v>0.01</v>
      </c>
      <c r="V112" s="18">
        <f t="shared" si="2"/>
        <v>0.01</v>
      </c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9.9999999999999992E-2</v>
      </c>
      <c r="AL112" s="27">
        <f>IF(Table1[[#This Row],[Hours]]&gt;0,Table1[[#This Row],[Hours]],Table1[[#This Row],[Nominal Hours]])*COUNTIF(Table1[[#This Row],[Autumn Week 1]:[Spring Week 12]],"&gt;0")</f>
        <v>5</v>
      </c>
    </row>
    <row r="113" spans="1:38">
      <c r="A113" s="4" t="s">
        <v>61</v>
      </c>
      <c r="B113" s="2" t="s">
        <v>62</v>
      </c>
      <c r="C113" s="11" t="s">
        <v>5</v>
      </c>
      <c r="D113" s="29">
        <f>INDEX(Table2[CA weight],MATCH(Table1[[#This Row],[Module Code]],Table2[Module Code],0))</f>
        <v>30</v>
      </c>
      <c r="E113" s="29">
        <f>INDEX(Table2[Credits],MATCH(Table1[[#This Row],[Module Code]],Table2[Module Code],0))</f>
        <v>10</v>
      </c>
      <c r="F113" s="11" t="s">
        <v>206</v>
      </c>
      <c r="G113" s="11" t="s">
        <v>229</v>
      </c>
      <c r="H113" s="11" t="s">
        <v>305</v>
      </c>
      <c r="I113" s="11">
        <v>4</v>
      </c>
      <c r="J113" s="11">
        <f>AVERAGE(Table1[[#This Row],[Autumn Week 1]:[Spring Week 12]])*4*Table1[[#This Row],[Credits]]</f>
        <v>0</v>
      </c>
      <c r="K113" s="11"/>
      <c r="L113" s="18"/>
      <c r="M113" s="18"/>
      <c r="N113" s="18"/>
      <c r="O113" s="19"/>
      <c r="P113" s="18"/>
      <c r="Q113" s="18"/>
      <c r="R113" s="18">
        <v>-0.2</v>
      </c>
      <c r="S113" s="19">
        <v>0.2</v>
      </c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</v>
      </c>
    </row>
    <row r="114" spans="1:38">
      <c r="A114" s="4" t="s">
        <v>238</v>
      </c>
      <c r="B114" s="2" t="s">
        <v>237</v>
      </c>
      <c r="C114" s="11" t="s">
        <v>5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206</v>
      </c>
      <c r="G114" s="11" t="s">
        <v>229</v>
      </c>
      <c r="H114" s="11" t="s">
        <v>305</v>
      </c>
      <c r="I114" s="11">
        <v>3</v>
      </c>
      <c r="J114" s="11">
        <f>AVERAGE(Table1[[#This Row],[Autumn Week 1]:[Spring Week 12]])*4*Table1[[#This Row],[Credits]]</f>
        <v>6</v>
      </c>
      <c r="K114" s="11"/>
      <c r="L114" s="18"/>
      <c r="M114" s="18"/>
      <c r="N114" s="18"/>
      <c r="O114" s="19"/>
      <c r="P114" s="18"/>
      <c r="Q114" s="18"/>
      <c r="R114" s="18"/>
      <c r="S114" s="19"/>
      <c r="T114" s="18">
        <v>0.15</v>
      </c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0.15</v>
      </c>
      <c r="AL114" s="27">
        <f>IF(Table1[[#This Row],[Hours]]&gt;0,Table1[[#This Row],[Hours]],Table1[[#This Row],[Nominal Hours]])*COUNTIF(Table1[[#This Row],[Autumn Week 1]:[Spring Week 12]],"&gt;0")</f>
        <v>6</v>
      </c>
    </row>
    <row r="115" spans="1:38">
      <c r="A115" s="4" t="s">
        <v>238</v>
      </c>
      <c r="B115" s="2" t="s">
        <v>237</v>
      </c>
      <c r="C115" s="11" t="s">
        <v>121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367</v>
      </c>
      <c r="G115" s="11" t="s">
        <v>229</v>
      </c>
      <c r="H115" s="11" t="s">
        <v>327</v>
      </c>
      <c r="I115" s="11">
        <v>3</v>
      </c>
      <c r="J115" s="11">
        <f>AVERAGE(Table1[[#This Row],[Autumn Week 1]:[Spring Week 12]])*4*Table1[[#This Row],[Credits]]</f>
        <v>6</v>
      </c>
      <c r="K115" s="11"/>
      <c r="L115" s="18"/>
      <c r="M115" s="18"/>
      <c r="N115" s="18"/>
      <c r="O115" s="19"/>
      <c r="P115" s="18"/>
      <c r="Q115" s="18"/>
      <c r="R115" s="18">
        <v>0.15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0.15</v>
      </c>
      <c r="AL115" s="27">
        <f>IF(Table1[[#This Row],[Hours]]&gt;0,Table1[[#This Row],[Hours]],Table1[[#This Row],[Nominal Hours]])*COUNTIF(Table1[[#This Row],[Autumn Week 1]:[Spring Week 12]],"&gt;0")</f>
        <v>6</v>
      </c>
    </row>
    <row r="116" spans="1:38">
      <c r="A116" s="4" t="s">
        <v>63</v>
      </c>
      <c r="B116" s="2" t="s">
        <v>296</v>
      </c>
      <c r="C116" s="11" t="s">
        <v>121</v>
      </c>
      <c r="D116" s="29">
        <f>INDEX(Table2[CA weight],MATCH(Table1[[#This Row],[Module Code]],Table2[Module Code],0))</f>
        <v>25</v>
      </c>
      <c r="E116" s="29">
        <f>INDEX(Table2[Credits],MATCH(Table1[[#This Row],[Module Code]],Table2[Module Code],0))</f>
        <v>10</v>
      </c>
      <c r="F116" s="11" t="s">
        <v>342</v>
      </c>
      <c r="G116" s="11" t="s">
        <v>229</v>
      </c>
      <c r="H116" s="11" t="s">
        <v>315</v>
      </c>
      <c r="I116" s="11">
        <v>2</v>
      </c>
      <c r="J116" s="11">
        <f>AVERAGE(Table1[[#This Row],[Autumn Week 1]:[Spring Week 12]])*4*Table1[[#This Row],[Credits]]</f>
        <v>10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>
        <v>0.25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0.25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8">
      <c r="A117" s="4" t="s">
        <v>66</v>
      </c>
      <c r="B117" s="2" t="s">
        <v>67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287</v>
      </c>
      <c r="G117" s="11" t="s">
        <v>229</v>
      </c>
      <c r="H117" s="11" t="s">
        <v>305</v>
      </c>
      <c r="I117" s="11">
        <v>1</v>
      </c>
      <c r="J117" s="11">
        <f>AVERAGE(Table1[[#This Row],[Autumn Week 1]:[Spring Week 12]])*4*Table1[[#This Row],[Credits]]</f>
        <v>0.4</v>
      </c>
      <c r="K117" s="11">
        <v>2</v>
      </c>
      <c r="L117" s="18"/>
      <c r="M117" s="18">
        <v>0.01</v>
      </c>
      <c r="N117" s="18">
        <v>0.01</v>
      </c>
      <c r="O117" s="18">
        <v>0.01</v>
      </c>
      <c r="P117" s="18">
        <v>0.01</v>
      </c>
      <c r="Q117" s="18"/>
      <c r="R117" s="18">
        <v>0.01</v>
      </c>
      <c r="S117" s="18">
        <v>0.01</v>
      </c>
      <c r="T117" s="18">
        <v>0.01</v>
      </c>
      <c r="U117" s="18"/>
      <c r="V117" s="18">
        <v>0.01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0.08</v>
      </c>
      <c r="AL117" s="27">
        <f>IF(Table1[[#This Row],[Hours]]&gt;0,Table1[[#This Row],[Hours]],Table1[[#This Row],[Nominal Hours]])*COUNTIF(Table1[[#This Row],[Autumn Week 1]:[Spring Week 12]],"&gt;0")</f>
        <v>16</v>
      </c>
    </row>
    <row r="118" spans="1:38">
      <c r="A118" s="4" t="s">
        <v>66</v>
      </c>
      <c r="B118" s="2" t="s">
        <v>67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305</v>
      </c>
      <c r="I118" s="11">
        <v>6</v>
      </c>
      <c r="J118" s="11">
        <f>AVERAGE(Table1[[#This Row],[Autumn Week 1]:[Spring Week 12]])*4*Table1[[#This Row],[Credits]]</f>
        <v>4.4000000000000004</v>
      </c>
      <c r="K118" s="11"/>
      <c r="L118" s="18"/>
      <c r="M118" s="18"/>
      <c r="N118" s="18"/>
      <c r="O118" s="19"/>
      <c r="P118" s="18"/>
      <c r="Q118" s="19">
        <v>0.12</v>
      </c>
      <c r="R118" s="18"/>
      <c r="S118" s="19"/>
      <c r="T118" s="18"/>
      <c r="U118" s="19">
        <v>0.1</v>
      </c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0.22</v>
      </c>
      <c r="AL118" s="27">
        <f>IF(Table1[[#This Row],[Hours]]&gt;0,Table1[[#This Row],[Hours]],Table1[[#This Row],[Nominal Hours]])*COUNTIF(Table1[[#This Row],[Autumn Week 1]:[Spring Week 12]],"&gt;0")</f>
        <v>8.8000000000000007</v>
      </c>
    </row>
    <row r="119" spans="1:38">
      <c r="A119" s="4" t="s">
        <v>69</v>
      </c>
      <c r="B119" s="2" t="s">
        <v>70</v>
      </c>
      <c r="C119" s="11" t="s">
        <v>125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10</v>
      </c>
      <c r="F119" s="11" t="s">
        <v>303</v>
      </c>
      <c r="G119" s="11" t="s">
        <v>220</v>
      </c>
      <c r="H119" s="11" t="s">
        <v>305</v>
      </c>
      <c r="I119" s="11">
        <v>1</v>
      </c>
      <c r="J119" s="11">
        <f>AVERAGE(Table1[[#This Row],[Autumn Week 1]:[Spring Week 12]])*4*Table1[[#This Row],[Credits]]</f>
        <v>0.49999999999999994</v>
      </c>
      <c r="K119" s="11">
        <v>0.5</v>
      </c>
      <c r="L119" s="18">
        <v>1.2500000000000001E-2</v>
      </c>
      <c r="M119" s="18">
        <v>1.2500000000000001E-2</v>
      </c>
      <c r="N119" s="18">
        <v>1.2500000000000001E-2</v>
      </c>
      <c r="O119" s="18">
        <v>1.2500000000000001E-2</v>
      </c>
      <c r="P119" s="18">
        <v>1.2500000000000001E-2</v>
      </c>
      <c r="Q119" s="18"/>
      <c r="R119" s="18">
        <v>1.2500000000000001E-2</v>
      </c>
      <c r="S119" s="18"/>
      <c r="T119" s="18">
        <v>1.2500000000000001E-2</v>
      </c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8.7499999999999994E-2</v>
      </c>
      <c r="AL119" s="27">
        <f>IF(Table1[[#This Row],[Hours]]&gt;0,Table1[[#This Row],[Hours]],Table1[[#This Row],[Nominal Hours]])*COUNTIF(Table1[[#This Row],[Autumn Week 1]:[Spring Week 12]],"&gt;0")</f>
        <v>3.5</v>
      </c>
    </row>
    <row r="120" spans="1:38">
      <c r="A120" s="4" t="s">
        <v>69</v>
      </c>
      <c r="B120" s="2" t="s">
        <v>70</v>
      </c>
      <c r="C120" s="11"/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10</v>
      </c>
      <c r="F120" s="11" t="s">
        <v>302</v>
      </c>
      <c r="G120" s="11" t="s">
        <v>229</v>
      </c>
      <c r="H120" s="11" t="s">
        <v>305</v>
      </c>
      <c r="I120" s="11">
        <v>1</v>
      </c>
      <c r="J120" s="11">
        <f>AVERAGE(Table1[[#This Row],[Autumn Week 1]:[Spring Week 12]])*4*Table1[[#This Row],[Credits]]</f>
        <v>4</v>
      </c>
      <c r="K120" s="11">
        <v>0.5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>
        <v>0.1</v>
      </c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</v>
      </c>
      <c r="AL120" s="27">
        <f>IF(Table1[[#This Row],[Hours]]&gt;0,Table1[[#This Row],[Hours]],Table1[[#This Row],[Nominal Hours]])*COUNTIF(Table1[[#This Row],[Autumn Week 1]:[Spring Week 12]],"&gt;0")</f>
        <v>0.5</v>
      </c>
    </row>
    <row r="121" spans="1:38">
      <c r="A121" s="4" t="s">
        <v>69</v>
      </c>
      <c r="B121" s="2" t="s">
        <v>70</v>
      </c>
      <c r="C121" s="11" t="s">
        <v>4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333</v>
      </c>
      <c r="G121" s="11" t="s">
        <v>229</v>
      </c>
      <c r="H121" s="11" t="s">
        <v>351</v>
      </c>
      <c r="I121" s="11">
        <v>4</v>
      </c>
      <c r="J121" s="11">
        <f>AVERAGE(Table1[[#This Row],[Autumn Week 1]:[Spring Week 12]])*4*Table1[[#This Row],[Credits]]</f>
        <v>0</v>
      </c>
      <c r="K121" s="11"/>
      <c r="L121" s="18"/>
      <c r="M121" s="18"/>
      <c r="N121" s="18"/>
      <c r="O121" s="19"/>
      <c r="P121" s="18">
        <v>0.35</v>
      </c>
      <c r="Q121" s="18">
        <v>-0.35</v>
      </c>
      <c r="R121" s="18"/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0.35</v>
      </c>
      <c r="AL121" s="27">
        <f>IF(Table1[[#This Row],[Hours]]&gt;0,Table1[[#This Row],[Hours]],Table1[[#This Row],[Nominal Hours]])*COUNTIF(Table1[[#This Row],[Autumn Week 1]:[Spring Week 12]],"&gt;0")</f>
        <v>0</v>
      </c>
    </row>
    <row r="122" spans="1:38">
      <c r="A122" s="4" t="s">
        <v>69</v>
      </c>
      <c r="B122" s="2" t="s">
        <v>70</v>
      </c>
      <c r="C122" s="11" t="s">
        <v>123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201</v>
      </c>
      <c r="G122" s="11" t="s">
        <v>229</v>
      </c>
      <c r="H122" s="11" t="s">
        <v>305</v>
      </c>
      <c r="I122" s="11">
        <v>4</v>
      </c>
      <c r="J122" s="11">
        <f>AVERAGE(Table1[[#This Row],[Autumn Week 1]:[Spring Week 12]])*4*Table1[[#This Row],[Credits]]</f>
        <v>22</v>
      </c>
      <c r="K122" s="11">
        <v>25</v>
      </c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0.55000000000000004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0.55000000000000004</v>
      </c>
      <c r="AL122" s="27">
        <f>IF(Table1[[#This Row],[Hours]]&gt;0,Table1[[#This Row],[Hours]],Table1[[#This Row],[Nominal Hours]])*COUNTIF(Table1[[#This Row],[Autumn Week 1]:[Spring Week 12]],"&gt;0")</f>
        <v>25</v>
      </c>
    </row>
    <row r="123" spans="1:38" ht="28">
      <c r="A123" s="4" t="s">
        <v>71</v>
      </c>
      <c r="B123" s="2" t="s">
        <v>72</v>
      </c>
      <c r="C123" s="11" t="s">
        <v>4</v>
      </c>
      <c r="D123" s="29">
        <f>INDEX(Table2[CA weight],MATCH(Table1[[#This Row],[Module Code]],Table2[Module Code],0))</f>
        <v>50</v>
      </c>
      <c r="E123" s="29">
        <f>INDEX(Table2[Credits],MATCH(Table1[[#This Row],[Module Code]],Table2[Module Code],0))</f>
        <v>10</v>
      </c>
      <c r="F123" s="37" t="s">
        <v>368</v>
      </c>
      <c r="G123" s="11" t="s">
        <v>229</v>
      </c>
      <c r="H123" s="11" t="s">
        <v>311</v>
      </c>
      <c r="I123" s="11">
        <v>1</v>
      </c>
      <c r="J123" s="11">
        <f>AVERAGE(Table1[[#This Row],[Autumn Week 1]:[Spring Week 12]])*4*Table1[[#This Row],[Credits]]</f>
        <v>0.39999999999999991</v>
      </c>
      <c r="K123" s="11">
        <v>0.5</v>
      </c>
      <c r="L123" s="18"/>
      <c r="M123" s="18">
        <v>0.01</v>
      </c>
      <c r="N123" s="18">
        <v>0.01</v>
      </c>
      <c r="O123" s="19">
        <v>0.01</v>
      </c>
      <c r="P123" s="18">
        <v>0.01</v>
      </c>
      <c r="Q123" s="18">
        <v>0.01</v>
      </c>
      <c r="R123" s="18">
        <v>0.01</v>
      </c>
      <c r="S123" s="19">
        <v>0.01</v>
      </c>
      <c r="T123" s="18">
        <v>0.01</v>
      </c>
      <c r="U123" s="18">
        <v>0.01</v>
      </c>
      <c r="V123" s="18">
        <v>0.01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9.9999999999999992E-2</v>
      </c>
      <c r="AL123" s="27">
        <f>IF(Table1[[#This Row],[Hours]]&gt;0,Table1[[#This Row],[Hours]],Table1[[#This Row],[Nominal Hours]])*COUNTIF(Table1[[#This Row],[Autumn Week 1]:[Spring Week 12]],"&gt;0")</f>
        <v>5</v>
      </c>
    </row>
    <row r="124" spans="1:38">
      <c r="A124" s="4" t="s">
        <v>71</v>
      </c>
      <c r="B124" s="2" t="s">
        <v>72</v>
      </c>
      <c r="C124" s="11" t="s">
        <v>5</v>
      </c>
      <c r="D124" s="29">
        <f>INDEX(Table2[CA weight],MATCH(Table1[[#This Row],[Module Code]],Table2[Module Code],0))</f>
        <v>50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305</v>
      </c>
      <c r="I124" s="11">
        <v>2</v>
      </c>
      <c r="J124" s="11">
        <f>AVERAGE(Table1[[#This Row],[Autumn Week 1]:[Spring Week 12]])*4*Table1[[#This Row],[Credits]]</f>
        <v>4</v>
      </c>
      <c r="K124" s="11"/>
      <c r="L124" s="18"/>
      <c r="M124" s="18"/>
      <c r="N124" s="18">
        <v>0.1</v>
      </c>
      <c r="O124" s="19"/>
      <c r="P124" s="18">
        <v>0.1</v>
      </c>
      <c r="Q124" s="18"/>
      <c r="R124" s="18">
        <v>0.1</v>
      </c>
      <c r="S124" s="19"/>
      <c r="T124" s="18"/>
      <c r="U124" s="18">
        <v>0.1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0.4</v>
      </c>
      <c r="AL124" s="27">
        <f>IF(Table1[[#This Row],[Hours]]&gt;0,Table1[[#This Row],[Hours]],Table1[[#This Row],[Nominal Hours]])*COUNTIF(Table1[[#This Row],[Autumn Week 1]:[Spring Week 12]],"&gt;0")</f>
        <v>16</v>
      </c>
    </row>
    <row r="125" spans="1:38">
      <c r="A125" s="3" t="s">
        <v>190</v>
      </c>
      <c r="B125" s="3" t="s">
        <v>110</v>
      </c>
      <c r="C125" s="12" t="s">
        <v>5</v>
      </c>
      <c r="D125" s="29">
        <f>INDEX(Table2[CA weight],MATCH(Table1[[#This Row],[Module Code]],Table2[Module Code],0))</f>
        <v>20</v>
      </c>
      <c r="E125" s="29">
        <f>INDEX(Table2[Credits],MATCH(Table1[[#This Row],[Module Code]],Table2[Module Code],0))</f>
        <v>10</v>
      </c>
      <c r="F125" s="12" t="s">
        <v>206</v>
      </c>
      <c r="G125" s="11" t="s">
        <v>229</v>
      </c>
      <c r="H125" s="11" t="s">
        <v>311</v>
      </c>
      <c r="I125" s="11">
        <v>3</v>
      </c>
      <c r="J125" s="11">
        <f>AVERAGE(Table1[[#This Row],[Autumn Week 1]:[Spring Week 12]])*4*Table1[[#This Row],[Credits]]</f>
        <v>8</v>
      </c>
      <c r="K125" s="11"/>
      <c r="L125" s="18"/>
      <c r="M125" s="18"/>
      <c r="N125" s="18"/>
      <c r="O125" s="19"/>
      <c r="P125" s="18"/>
      <c r="Q125" s="18"/>
      <c r="R125" s="18"/>
      <c r="S125" s="19"/>
      <c r="T125" s="18"/>
      <c r="U125" s="18"/>
      <c r="V125" s="18"/>
      <c r="W125" s="19"/>
      <c r="X125" s="20"/>
      <c r="Y125" s="20"/>
      <c r="Z125" s="20"/>
      <c r="AA125" s="20">
        <v>0.2</v>
      </c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3" t="s">
        <v>191</v>
      </c>
      <c r="B126" s="3" t="s">
        <v>111</v>
      </c>
      <c r="C126" s="12" t="s">
        <v>5</v>
      </c>
      <c r="D126" s="29">
        <f>INDEX(Table2[CA weight],MATCH(Table1[[#This Row],[Module Code]],Table2[Module Code],0))</f>
        <v>30</v>
      </c>
      <c r="E126" s="29">
        <f>INDEX(Table2[Credits],MATCH(Table1[[#This Row],[Module Code]],Table2[Module Code],0))</f>
        <v>10</v>
      </c>
      <c r="F126" s="12" t="s">
        <v>206</v>
      </c>
      <c r="G126" s="11" t="s">
        <v>229</v>
      </c>
      <c r="H126" s="11" t="s">
        <v>305</v>
      </c>
      <c r="I126" s="11">
        <v>4</v>
      </c>
      <c r="J126" s="11">
        <f>AVERAGE(Table1[[#This Row],[Autumn Week 1]:[Spring Week 12]])*4*Table1[[#This Row],[Credits]]</f>
        <v>12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>
        <v>0.3</v>
      </c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0.3</v>
      </c>
      <c r="AL126" s="27">
        <f>IF(Table1[[#This Row],[Hours]]&gt;0,Table1[[#This Row],[Hours]],Table1[[#This Row],[Nominal Hours]])*COUNTIF(Table1[[#This Row],[Autumn Week 1]:[Spring Week 12]],"&gt;0")</f>
        <v>12</v>
      </c>
    </row>
    <row r="127" spans="1:38" ht="28">
      <c r="A127" s="3" t="s">
        <v>192</v>
      </c>
      <c r="B127" s="3" t="s">
        <v>112</v>
      </c>
      <c r="C127" s="11" t="s">
        <v>125</v>
      </c>
      <c r="D127" s="29">
        <f>INDEX(Table2[CA weight],MATCH(Table1[[#This Row],[Module Code]],Table2[Module Code],0))</f>
        <v>60</v>
      </c>
      <c r="E127" s="29">
        <f>INDEX(Table2[Credits],MATCH(Table1[[#This Row],[Module Code]],Table2[Module Code],0))</f>
        <v>10</v>
      </c>
      <c r="F127" s="37" t="s">
        <v>288</v>
      </c>
      <c r="G127" s="11" t="s">
        <v>229</v>
      </c>
      <c r="H127" s="11" t="s">
        <v>311</v>
      </c>
      <c r="I127" s="11">
        <v>1</v>
      </c>
      <c r="J127" s="11">
        <f>AVERAGE(Table1[[#This Row],[Autumn Week 1]:[Spring Week 12]])*4*Table1[[#This Row],[Credits]]</f>
        <v>0.79999999999999982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>
        <v>0.02</v>
      </c>
      <c r="Z127" s="20">
        <v>0.02</v>
      </c>
      <c r="AA127" s="20">
        <v>0.02</v>
      </c>
      <c r="AB127" s="20">
        <v>0.02</v>
      </c>
      <c r="AC127" s="20">
        <v>0.02</v>
      </c>
      <c r="AD127" s="20">
        <v>0.02</v>
      </c>
      <c r="AE127" s="20">
        <v>0.02</v>
      </c>
      <c r="AF127" s="20">
        <v>0.02</v>
      </c>
      <c r="AG127" s="20">
        <v>0.02</v>
      </c>
      <c r="AH127" s="20">
        <v>0.02</v>
      </c>
      <c r="AI127" s="20"/>
      <c r="AJ127" s="20"/>
      <c r="AK127" s="27">
        <f>SUMIF(Table1[[#This Row],[Autumn Week 1]:[Spring Week 12]],"&gt;0",Table1[[#This Row],[Autumn Week 1]:[Spring Week 12]])</f>
        <v>0.19999999999999998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3" t="s">
        <v>192</v>
      </c>
      <c r="B128" s="3" t="s">
        <v>112</v>
      </c>
      <c r="C128" s="12" t="s">
        <v>5</v>
      </c>
      <c r="D128" s="29">
        <f>INDEX(Table2[CA weight],MATCH(Table1[[#This Row],[Module Code]],Table2[Module Code],0))</f>
        <v>60</v>
      </c>
      <c r="E128" s="29">
        <f>INDEX(Table2[Credits],MATCH(Table1[[#This Row],[Module Code]],Table2[Module Code],0))</f>
        <v>10</v>
      </c>
      <c r="F128" s="12" t="s">
        <v>206</v>
      </c>
      <c r="G128" s="11" t="s">
        <v>229</v>
      </c>
      <c r="H128" s="11" t="s">
        <v>305</v>
      </c>
      <c r="I128" s="11">
        <v>3</v>
      </c>
      <c r="J128" s="11">
        <f>AVERAGE(Table1[[#This Row],[Autumn Week 1]:[Spring Week 12]])*4*Table1[[#This Row],[Credits]]</f>
        <v>4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>
        <v>0.1</v>
      </c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0.1</v>
      </c>
      <c r="AL128" s="27">
        <f>IF(Table1[[#This Row],[Hours]]&gt;0,Table1[[#This Row],[Hours]],Table1[[#This Row],[Nominal Hours]])*COUNTIF(Table1[[#This Row],[Autumn Week 1]:[Spring Week 12]],"&gt;0")</f>
        <v>4</v>
      </c>
    </row>
    <row r="129" spans="1:38">
      <c r="A129" s="3" t="s">
        <v>192</v>
      </c>
      <c r="B129" s="3" t="s">
        <v>112</v>
      </c>
      <c r="C129" s="12" t="s">
        <v>121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2" t="s">
        <v>342</v>
      </c>
      <c r="G129" s="11" t="s">
        <v>229</v>
      </c>
      <c r="H129" s="11" t="s">
        <v>315</v>
      </c>
      <c r="I129" s="11">
        <v>2</v>
      </c>
      <c r="J129" s="11">
        <f>AVERAGE(Table1[[#This Row],[Autumn Week 1]:[Spring Week 12]])*4*Table1[[#This Row],[Credits]]</f>
        <v>12</v>
      </c>
      <c r="K129" s="11">
        <v>15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>
        <v>0.3</v>
      </c>
      <c r="AI129" s="20"/>
      <c r="AJ129" s="20"/>
      <c r="AK129" s="27">
        <f>SUMIF(Table1[[#This Row],[Autumn Week 1]:[Spring Week 12]],"&gt;0",Table1[[#This Row],[Autumn Week 1]:[Spring Week 12]])</f>
        <v>0.3</v>
      </c>
      <c r="AL129" s="27">
        <f>IF(Table1[[#This Row],[Hours]]&gt;0,Table1[[#This Row],[Hours]],Table1[[#This Row],[Nominal Hours]])*COUNTIF(Table1[[#This Row],[Autumn Week 1]:[Spring Week 12]],"&gt;0")</f>
        <v>15</v>
      </c>
    </row>
    <row r="130" spans="1:38" ht="28">
      <c r="A130" s="3" t="s">
        <v>193</v>
      </c>
      <c r="B130" s="3" t="s">
        <v>113</v>
      </c>
      <c r="C130" s="11" t="s">
        <v>125</v>
      </c>
      <c r="D130" s="29">
        <f>INDEX(Table2[CA weight],MATCH(Table1[[#This Row],[Module Code]],Table2[Module Code],0))</f>
        <v>20</v>
      </c>
      <c r="E130" s="29">
        <f>INDEX(Table2[Credits],MATCH(Table1[[#This Row],[Module Code]],Table2[Module Code],0))</f>
        <v>10</v>
      </c>
      <c r="F130" s="37" t="s">
        <v>289</v>
      </c>
      <c r="G130" s="11" t="s">
        <v>229</v>
      </c>
      <c r="H130" s="11" t="s">
        <v>359</v>
      </c>
      <c r="I130" s="11">
        <v>1</v>
      </c>
      <c r="J130" s="11">
        <f>AVERAGE(Table1[[#This Row],[Autumn Week 1]:[Spring Week 12]])*4*Table1[[#This Row],[Credits]]</f>
        <v>0.8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>
        <v>0.02</v>
      </c>
      <c r="Z130" s="20">
        <v>0.02</v>
      </c>
      <c r="AA130" s="20">
        <v>0.02</v>
      </c>
      <c r="AB130" s="20">
        <v>0.02</v>
      </c>
      <c r="AC130" s="20">
        <v>0.02</v>
      </c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2.5</v>
      </c>
    </row>
    <row r="131" spans="1:38" ht="28">
      <c r="A131" s="3" t="s">
        <v>193</v>
      </c>
      <c r="B131" s="3" t="s">
        <v>113</v>
      </c>
      <c r="C131" s="11" t="s">
        <v>125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37" t="s">
        <v>290</v>
      </c>
      <c r="G131" s="11" t="s">
        <v>229</v>
      </c>
      <c r="H131" s="11" t="s">
        <v>359</v>
      </c>
      <c r="I131" s="11">
        <v>1</v>
      </c>
      <c r="J131" s="11">
        <f>AVERAGE(Table1[[#This Row],[Autumn Week 1]:[Spring Week 12]])*4*Table1[[#This Row],[Credits]]</f>
        <v>0.8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</v>
      </c>
      <c r="AL131" s="27">
        <f>IF(Table1[[#This Row],[Hours]]&gt;0,Table1[[#This Row],[Hours]],Table1[[#This Row],[Nominal Hours]])*COUNTIF(Table1[[#This Row],[Autumn Week 1]:[Spring Week 12]],"&gt;0")</f>
        <v>2.5</v>
      </c>
    </row>
    <row r="132" spans="1:38">
      <c r="A132" s="3" t="s">
        <v>114</v>
      </c>
      <c r="B132" s="3" t="s">
        <v>115</v>
      </c>
      <c r="C132" s="12" t="s">
        <v>5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2" t="s">
        <v>268</v>
      </c>
      <c r="G132" s="11" t="s">
        <v>229</v>
      </c>
      <c r="H132" s="11" t="s">
        <v>305</v>
      </c>
      <c r="I132" s="11">
        <v>3</v>
      </c>
      <c r="J132" s="11">
        <f>AVERAGE(Table1[[#This Row],[Autumn Week 1]:[Spring Week 12]])*4*Table1[[#This Row],[Credits]]</f>
        <v>16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0.4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0.4</v>
      </c>
      <c r="AL132" s="27">
        <f>IF(Table1[[#This Row],[Hours]]&gt;0,Table1[[#This Row],[Hours]],Table1[[#This Row],[Nominal Hours]])*COUNTIF(Table1[[#This Row],[Autumn Week 1]:[Spring Week 12]],"&gt;0")</f>
        <v>16</v>
      </c>
    </row>
    <row r="133" spans="1:38">
      <c r="A133" s="3" t="s">
        <v>114</v>
      </c>
      <c r="B133" s="3" t="s">
        <v>115</v>
      </c>
      <c r="C133" s="12" t="s">
        <v>123</v>
      </c>
      <c r="D133" s="29">
        <f>INDEX(Table2[CA weight],MATCH(Table1[[#This Row],[Module Code]],Table2[Module Code],0))</f>
        <v>100</v>
      </c>
      <c r="E133" s="29">
        <f>INDEX(Table2[Credits],MATCH(Table1[[#This Row],[Module Code]],Table2[Module Code],0))</f>
        <v>10</v>
      </c>
      <c r="F133" s="12" t="s">
        <v>201</v>
      </c>
      <c r="G133" s="11" t="s">
        <v>229</v>
      </c>
      <c r="H133" s="11" t="s">
        <v>305</v>
      </c>
      <c r="I133" s="11">
        <v>3</v>
      </c>
      <c r="J133" s="11">
        <f>AVERAGE(Table1[[#This Row],[Autumn Week 1]:[Spring Week 12]])*4*Table1[[#This Row],[Credits]]</f>
        <v>22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>
        <v>0.55000000000000004</v>
      </c>
      <c r="AH133" s="20"/>
      <c r="AI133" s="20"/>
      <c r="AJ133" s="20"/>
      <c r="AK133" s="27">
        <f>SUMIF(Table1[[#This Row],[Autumn Week 1]:[Spring Week 12]],"&gt;0",Table1[[#This Row],[Autumn Week 1]:[Spring Week 12]])</f>
        <v>0.55000000000000004</v>
      </c>
      <c r="AL133" s="27">
        <f>IF(Table1[[#This Row],[Hours]]&gt;0,Table1[[#This Row],[Hours]],Table1[[#This Row],[Nominal Hours]])*COUNTIF(Table1[[#This Row],[Autumn Week 1]:[Spring Week 12]],"&gt;0")</f>
        <v>22</v>
      </c>
    </row>
    <row r="134" spans="1:38">
      <c r="A134" s="3" t="s">
        <v>114</v>
      </c>
      <c r="B134" s="3" t="s">
        <v>115</v>
      </c>
      <c r="C134" s="12" t="s">
        <v>122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259</v>
      </c>
      <c r="G134" s="11" t="s">
        <v>229</v>
      </c>
      <c r="H134" s="11" t="s">
        <v>305</v>
      </c>
      <c r="I134" s="11">
        <v>1</v>
      </c>
      <c r="J134" s="11">
        <f>AVERAGE(Table1[[#This Row],[Autumn Week 1]:[Spring Week 12]])*4*Table1[[#This Row],[Credits]]</f>
        <v>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0.05</v>
      </c>
      <c r="AI134" s="20"/>
      <c r="AJ134" s="20"/>
      <c r="AK134" s="27">
        <f>SUMIF(Table1[[#This Row],[Autumn Week 1]:[Spring Week 12]],"&gt;0",Table1[[#This Row],[Autumn Week 1]:[Spring Week 12]])</f>
        <v>0.05</v>
      </c>
      <c r="AL134" s="27">
        <f>IF(Table1[[#This Row],[Hours]]&gt;0,Table1[[#This Row],[Hours]],Table1[[#This Row],[Nominal Hours]])*COUNTIF(Table1[[#This Row],[Autumn Week 1]:[Spring Week 12]],"&gt;0")</f>
        <v>0.5</v>
      </c>
    </row>
    <row r="135" spans="1:38" ht="28">
      <c r="A135" s="3" t="s">
        <v>239</v>
      </c>
      <c r="B135" s="28" t="s">
        <v>240</v>
      </c>
      <c r="C135" s="12" t="s">
        <v>4</v>
      </c>
      <c r="D135" s="29">
        <f>INDEX(Table2[CA weight],MATCH(Table1[[#This Row],[Module Code]],Table2[Module Code],0))</f>
        <v>50</v>
      </c>
      <c r="E135" s="29">
        <f>INDEX(Table2[Credits],MATCH(Table1[[#This Row],[Module Code]],Table2[Module Code],0))</f>
        <v>10</v>
      </c>
      <c r="F135" s="45" t="s">
        <v>288</v>
      </c>
      <c r="G135" s="11" t="s">
        <v>229</v>
      </c>
      <c r="H135" s="11" t="s">
        <v>311</v>
      </c>
      <c r="I135" s="11">
        <v>1</v>
      </c>
      <c r="J135" s="11">
        <f>AVERAGE(Table1[[#This Row],[Autumn Week 1]:[Spring Week 12]])*4*Table1[[#This Row],[Credits]]</f>
        <v>0.3636363636363637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>
        <f>0.1/11</f>
        <v>9.0909090909090922E-3</v>
      </c>
      <c r="Y135" s="20">
        <f t="shared" ref="Y135:AH135" si="3">0.1/11</f>
        <v>9.0909090909090922E-3</v>
      </c>
      <c r="Z135" s="20">
        <f t="shared" si="3"/>
        <v>9.0909090909090922E-3</v>
      </c>
      <c r="AA135" s="20">
        <f t="shared" si="3"/>
        <v>9.0909090909090922E-3</v>
      </c>
      <c r="AB135" s="20">
        <f t="shared" si="3"/>
        <v>9.0909090909090922E-3</v>
      </c>
      <c r="AC135" s="20">
        <f t="shared" si="3"/>
        <v>9.0909090909090922E-3</v>
      </c>
      <c r="AD135" s="20">
        <f t="shared" si="3"/>
        <v>9.0909090909090922E-3</v>
      </c>
      <c r="AE135" s="20">
        <f t="shared" si="3"/>
        <v>9.0909090909090922E-3</v>
      </c>
      <c r="AF135" s="20">
        <f t="shared" si="3"/>
        <v>9.0909090909090922E-3</v>
      </c>
      <c r="AG135" s="20">
        <f t="shared" si="3"/>
        <v>9.0909090909090922E-3</v>
      </c>
      <c r="AH135" s="20">
        <f t="shared" si="3"/>
        <v>9.0909090909090922E-3</v>
      </c>
      <c r="AI135" s="20"/>
      <c r="AJ135" s="20"/>
      <c r="AK135" s="27">
        <f>SUMIF(Table1[[#This Row],[Autumn Week 1]:[Spring Week 12]],"&gt;0",Table1[[#This Row],[Autumn Week 1]:[Spring Week 12]])</f>
        <v>0.10000000000000002</v>
      </c>
      <c r="AL135" s="27">
        <f>IF(Table1[[#This Row],[Hours]]&gt;0,Table1[[#This Row],[Hours]],Table1[[#This Row],[Nominal Hours]])*COUNTIF(Table1[[#This Row],[Autumn Week 1]:[Spring Week 12]],"&gt;0")</f>
        <v>5.5</v>
      </c>
    </row>
    <row r="136" spans="1:38">
      <c r="A136" s="3" t="s">
        <v>239</v>
      </c>
      <c r="B136" s="28" t="s">
        <v>240</v>
      </c>
      <c r="C136" s="12" t="s">
        <v>5</v>
      </c>
      <c r="D136" s="29">
        <f>INDEX(Table2[CA weight],MATCH(Table1[[#This Row],[Module Code]],Table2[Module Code],0))</f>
        <v>50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351</v>
      </c>
      <c r="I136" s="11">
        <v>4</v>
      </c>
      <c r="J136" s="11">
        <f>AVERAGE(Table1[[#This Row],[Autumn Week 1]:[Spring Week 12]])*4*Table1[[#This Row],[Credits]]</f>
        <v>2.6666666666666665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>
        <v>0.2</v>
      </c>
      <c r="AD136" s="20">
        <v>-0.2</v>
      </c>
      <c r="AE136" s="20"/>
      <c r="AF136" s="20"/>
      <c r="AG136" s="20"/>
      <c r="AH136" s="20">
        <v>0.2</v>
      </c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5.333333333333333</v>
      </c>
    </row>
    <row r="137" spans="1:38" ht="28">
      <c r="A137" s="3" t="s">
        <v>116</v>
      </c>
      <c r="B137" s="3" t="s">
        <v>117</v>
      </c>
      <c r="C137" s="11" t="s">
        <v>125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37" t="s">
        <v>291</v>
      </c>
      <c r="G137" s="11" t="s">
        <v>229</v>
      </c>
      <c r="H137" s="11" t="s">
        <v>305</v>
      </c>
      <c r="I137" s="11">
        <v>1</v>
      </c>
      <c r="J137" s="11">
        <f>AVERAGE(Table1[[#This Row],[Autumn Week 1]:[Spring Week 12]])*4*Table1[[#This Row],[Credits]]</f>
        <v>1.2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0.03</v>
      </c>
      <c r="Z137" s="20">
        <v>0.03</v>
      </c>
      <c r="AA137" s="20">
        <v>0.03</v>
      </c>
      <c r="AB137" s="20">
        <v>0.03</v>
      </c>
      <c r="AC137" s="20">
        <v>0.03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0.15</v>
      </c>
      <c r="AL137" s="27">
        <f>IF(Table1[[#This Row],[Hours]]&gt;0,Table1[[#This Row],[Hours]],Table1[[#This Row],[Nominal Hours]])*COUNTIF(Table1[[#This Row],[Autumn Week 1]:[Spring Week 12]],"&gt;0")</f>
        <v>6</v>
      </c>
    </row>
    <row r="138" spans="1:38" ht="28">
      <c r="A138" s="3" t="s">
        <v>116</v>
      </c>
      <c r="B138" s="3" t="s">
        <v>117</v>
      </c>
      <c r="C138" s="11" t="s">
        <v>125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37" t="s">
        <v>292</v>
      </c>
      <c r="G138" s="11" t="s">
        <v>229</v>
      </c>
      <c r="H138" s="11" t="s">
        <v>305</v>
      </c>
      <c r="I138" s="11">
        <v>1</v>
      </c>
      <c r="J138" s="11">
        <f>AVERAGE(Table1[[#This Row],[Autumn Week 1]:[Spring Week 12]])*4*Table1[[#This Row],[Credits]]</f>
        <v>1.2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0.03</v>
      </c>
      <c r="AE138" s="20">
        <v>0.03</v>
      </c>
      <c r="AF138" s="20">
        <v>0.03</v>
      </c>
      <c r="AG138" s="20">
        <v>0.03</v>
      </c>
      <c r="AH138" s="20">
        <v>0.03</v>
      </c>
      <c r="AI138" s="20"/>
      <c r="AJ138" s="20"/>
      <c r="AK138" s="27">
        <f>SUMIF(Table1[[#This Row],[Autumn Week 1]:[Spring Week 12]],"&gt;0",Table1[[#This Row],[Autumn Week 1]:[Spring Week 12]])</f>
        <v>0.15</v>
      </c>
      <c r="AL138" s="27">
        <f>IF(Table1[[#This Row],[Hours]]&gt;0,Table1[[#This Row],[Hours]],Table1[[#This Row],[Nominal Hours]])*COUNTIF(Table1[[#This Row],[Autumn Week 1]:[Spring Week 12]],"&gt;0")</f>
        <v>6</v>
      </c>
    </row>
    <row r="139" spans="1:38">
      <c r="A139" s="3" t="s">
        <v>68</v>
      </c>
      <c r="B139" s="3" t="s">
        <v>159</v>
      </c>
      <c r="C139" s="12" t="s">
        <v>5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12"/>
      <c r="G139" s="11" t="s">
        <v>229</v>
      </c>
      <c r="H139" s="11" t="s">
        <v>305</v>
      </c>
      <c r="I139" s="11">
        <v>4</v>
      </c>
      <c r="J139" s="11">
        <f>AVERAGE(Table1[[#This Row],[Autumn Week 1]:[Spring Week 12]])*4*Table1[[#This Row],[Credits]]</f>
        <v>20</v>
      </c>
      <c r="K139" s="11">
        <v>25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>
        <v>0.5</v>
      </c>
      <c r="AJ139" s="20"/>
      <c r="AK139" s="27">
        <f>SUMIF(Table1[[#This Row],[Autumn Week 1]:[Spring Week 12]],"&gt;0",Table1[[#This Row],[Autumn Week 1]:[Spring Week 12]])</f>
        <v>0.5</v>
      </c>
      <c r="AL139" s="27">
        <f>IF(Table1[[#This Row],[Hours]]&gt;0,Table1[[#This Row],[Hours]],Table1[[#This Row],[Nominal Hours]])*COUNTIF(Table1[[#This Row],[Autumn Week 1]:[Spring Week 12]],"&gt;0")</f>
        <v>25</v>
      </c>
    </row>
    <row r="140" spans="1:38">
      <c r="A140" s="3" t="s">
        <v>194</v>
      </c>
      <c r="B140" s="3" t="s">
        <v>118</v>
      </c>
      <c r="C140" s="12" t="s">
        <v>5</v>
      </c>
      <c r="D140" s="29">
        <f>INDEX(Table2[CA weight],MATCH(Table1[[#This Row],[Module Code]],Table2[Module Code],0))</f>
        <v>40</v>
      </c>
      <c r="E140" s="29">
        <f>INDEX(Table2[Credits],MATCH(Table1[[#This Row],[Module Code]],Table2[Module Code],0))</f>
        <v>10</v>
      </c>
      <c r="F140" s="12" t="s">
        <v>278</v>
      </c>
      <c r="G140" s="11" t="s">
        <v>229</v>
      </c>
      <c r="H140" s="11" t="s">
        <v>305</v>
      </c>
      <c r="I140" s="11">
        <v>3</v>
      </c>
      <c r="J140" s="11">
        <f>AVERAGE(Table1[[#This Row],[Autumn Week 1]:[Spring Week 12]])*4*Table1[[#This Row],[Credits]]</f>
        <v>4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>
        <v>0.1</v>
      </c>
      <c r="AB140" s="20"/>
      <c r="AC140" s="20"/>
      <c r="AD140" s="20"/>
      <c r="AE140" s="20"/>
      <c r="AF140" s="20"/>
      <c r="AG140" s="20"/>
      <c r="AH140" s="20">
        <v>0.1</v>
      </c>
      <c r="AI140" s="20"/>
      <c r="AJ140" s="20"/>
      <c r="AK140" s="27">
        <f>SUMIF(Table1[[#This Row],[Autumn Week 1]:[Spring Week 12]],"&gt;0",Table1[[#This Row],[Autumn Week 1]:[Spring Week 12]])</f>
        <v>0.2</v>
      </c>
      <c r="AL140" s="27">
        <f>IF(Table1[[#This Row],[Hours]]&gt;0,Table1[[#This Row],[Hours]],Table1[[#This Row],[Nominal Hours]])*COUNTIF(Table1[[#This Row],[Autumn Week 1]:[Spring Week 12]],"&gt;0")</f>
        <v>8</v>
      </c>
    </row>
    <row r="141" spans="1:38">
      <c r="A141" s="3" t="s">
        <v>194</v>
      </c>
      <c r="B141" s="3" t="s">
        <v>118</v>
      </c>
      <c r="C141" s="12" t="s">
        <v>5</v>
      </c>
      <c r="D141" s="29">
        <f>INDEX(Table2[CA weight],MATCH(Table1[[#This Row],[Module Code]],Table2[Module Code],0))</f>
        <v>40</v>
      </c>
      <c r="E141" s="29">
        <f>INDEX(Table2[Credits],MATCH(Table1[[#This Row],[Module Code]],Table2[Module Code],0))</f>
        <v>10</v>
      </c>
      <c r="F141" s="12" t="s">
        <v>269</v>
      </c>
      <c r="G141" s="11" t="s">
        <v>229</v>
      </c>
      <c r="H141" s="11" t="s">
        <v>305</v>
      </c>
      <c r="I141" s="11">
        <v>3</v>
      </c>
      <c r="J141" s="11">
        <f>AVERAGE(Table1[[#This Row],[Autumn Week 1]:[Spring Week 12]])*4*Table1[[#This Row],[Credits]]</f>
        <v>0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>
        <v>0.2</v>
      </c>
      <c r="AD141" s="20"/>
      <c r="AE141" s="20">
        <v>-0.2</v>
      </c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0.2</v>
      </c>
      <c r="AL141" s="27">
        <f>IF(Table1[[#This Row],[Hours]]&gt;0,Table1[[#This Row],[Hours]],Table1[[#This Row],[Nominal Hours]])*COUNTIF(Table1[[#This Row],[Autumn Week 1]:[Spring Week 12]],"&gt;0")</f>
        <v>0</v>
      </c>
    </row>
    <row r="142" spans="1:38">
      <c r="A142" s="3" t="s">
        <v>195</v>
      </c>
      <c r="B142" s="3" t="s">
        <v>119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270</v>
      </c>
      <c r="G142" s="11" t="s">
        <v>229</v>
      </c>
      <c r="H142" s="11" t="s">
        <v>305</v>
      </c>
      <c r="I142" s="11">
        <v>3</v>
      </c>
      <c r="J142" s="11">
        <f>AVERAGE(Table1[[#This Row],[Autumn Week 1]:[Spring Week 12]])*4*Table1[[#This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>
        <v>0.2</v>
      </c>
      <c r="AB142" s="20"/>
      <c r="AC142" s="20"/>
      <c r="AD142" s="20"/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195</v>
      </c>
      <c r="B143" s="3" t="s">
        <v>119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273</v>
      </c>
      <c r="G143" s="11" t="s">
        <v>229</v>
      </c>
      <c r="H143" s="11" t="s">
        <v>305</v>
      </c>
      <c r="I143" s="11">
        <v>3</v>
      </c>
      <c r="J143" s="11">
        <f>AVERAGE(Table1[[#This Row],[Autumn Week 1]:[Spring Week 12]])*4*Table1[[#This Row],[Credits]]</f>
        <v>16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>
        <v>0.4</v>
      </c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>
      <c r="A144" s="3" t="s">
        <v>195</v>
      </c>
      <c r="B144" s="3" t="s">
        <v>119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274</v>
      </c>
      <c r="G144" s="11" t="s">
        <v>229</v>
      </c>
      <c r="H144" s="11" t="s">
        <v>305</v>
      </c>
      <c r="I144" s="11">
        <v>3</v>
      </c>
      <c r="J144" s="11">
        <f>AVERAGE(Table1[[#This Row],[Autumn Week 1]:[Spring Week 12]])*4*Table1[[#This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0.4</v>
      </c>
      <c r="AI144" s="20"/>
      <c r="AJ144" s="20"/>
      <c r="AK144" s="27">
        <f>SUMIF(Table1[[#This Row],[Autumn Week 1]:[Spring Week 12]],"&gt;0",Table1[[#This Row],[Autumn Week 1]:[Spring Week 12]])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74</v>
      </c>
      <c r="B145" s="28" t="s">
        <v>23</v>
      </c>
      <c r="C145" s="11" t="s">
        <v>123</v>
      </c>
      <c r="D145" s="29">
        <f>INDEX(Table2[CA weight],MATCH(Table1[[#This Row],[Module Code]],Table2[Module Code],0))</f>
        <v>75</v>
      </c>
      <c r="E145" s="29">
        <f>INDEX(Table2[Credits],MATCH(Table1[[#This Row],[Module Code]],Table2[Module Code],0))</f>
        <v>60</v>
      </c>
      <c r="F145" s="11" t="s">
        <v>231</v>
      </c>
      <c r="G145" s="11" t="s">
        <v>344</v>
      </c>
      <c r="H145" s="11" t="s">
        <v>366</v>
      </c>
      <c r="I145" s="11">
        <v>1</v>
      </c>
      <c r="J145" s="11">
        <f>AVERAGE(Table1[[#This Row],[Autumn Week 1]:[Spring Week 12]])*4*Table1[[#This Row],[Credits]]</f>
        <v>9.9999999999999964</v>
      </c>
      <c r="K145" s="11">
        <v>20</v>
      </c>
      <c r="L145" s="18">
        <f>1/24</f>
        <v>4.1666666666666664E-2</v>
      </c>
      <c r="M145" s="18">
        <v>4.1666666666666664E-2</v>
      </c>
      <c r="N145" s="18">
        <v>4.1666666666666664E-2</v>
      </c>
      <c r="O145" s="19">
        <v>4.1666666666666664E-2</v>
      </c>
      <c r="P145" s="18">
        <v>4.1666666666666664E-2</v>
      </c>
      <c r="Q145" s="18">
        <v>4.1666666666666664E-2</v>
      </c>
      <c r="R145" s="18">
        <v>4.1666666666666664E-2</v>
      </c>
      <c r="S145" s="19">
        <v>4.1666666666666664E-2</v>
      </c>
      <c r="T145" s="18">
        <v>4.1666666666666664E-2</v>
      </c>
      <c r="U145" s="18">
        <v>4.1666666666666664E-2</v>
      </c>
      <c r="V145" s="18">
        <v>4.1666666666666664E-2</v>
      </c>
      <c r="W145" s="19">
        <v>4.1666666666666664E-2</v>
      </c>
      <c r="X145" s="20">
        <v>4.1666666666666664E-2</v>
      </c>
      <c r="Y145" s="20">
        <v>4.1666666666666664E-2</v>
      </c>
      <c r="Z145" s="20">
        <v>4.1666666666666664E-2</v>
      </c>
      <c r="AA145" s="20">
        <v>4.1666666666666664E-2</v>
      </c>
      <c r="AB145" s="20">
        <v>4.1666666666666664E-2</v>
      </c>
      <c r="AC145" s="20">
        <v>4.1666666666666664E-2</v>
      </c>
      <c r="AD145" s="20">
        <v>4.1666666666666664E-2</v>
      </c>
      <c r="AE145" s="20">
        <v>4.1666666666666664E-2</v>
      </c>
      <c r="AF145" s="20">
        <v>4.1666666666666664E-2</v>
      </c>
      <c r="AG145" s="20">
        <v>4.1666666666666664E-2</v>
      </c>
      <c r="AH145" s="20">
        <v>4.1666666666666664E-2</v>
      </c>
      <c r="AI145" s="20">
        <v>4.1666666666666664E-2</v>
      </c>
      <c r="AJ145" s="20"/>
      <c r="AK145" s="27">
        <f>SUMIF(Table1[[#This Row],[Autumn Week 1]:[Spring Week 12]],"&gt;0",Table1[[#This Row],[Autumn Week 1]:[Spring Week 12]])</f>
        <v>0.99999999999999956</v>
      </c>
      <c r="AL145" s="27">
        <f>IF(Table1[[#This Row],[Hours]]&gt;0,Table1[[#This Row],[Hours]],Table1[[#This Row],[Nominal Hours]])*COUNTIF(Table1[[#This Row],[Autumn Week 1]:[Spring Week 12]],"&gt;0")</f>
        <v>480</v>
      </c>
    </row>
    <row r="146" spans="1:38">
      <c r="A146" s="4" t="s">
        <v>74</v>
      </c>
      <c r="B146" s="2" t="s">
        <v>23</v>
      </c>
      <c r="C146" s="11" t="s">
        <v>122</v>
      </c>
      <c r="D146" s="29">
        <f>INDEX(Table2[CA weight],MATCH(Table1[[#This Row],[Module Code]],Table2[Module Code],0))</f>
        <v>75</v>
      </c>
      <c r="E146" s="29">
        <f>INDEX(Table2[Credits],MATCH(Table1[[#This Row],[Module Code]],Table2[Module Code],0))</f>
        <v>60</v>
      </c>
      <c r="F146" s="11" t="s">
        <v>338</v>
      </c>
      <c r="G146" s="11" t="s">
        <v>220</v>
      </c>
      <c r="H146" s="11" t="s">
        <v>305</v>
      </c>
      <c r="I146" s="11">
        <v>1</v>
      </c>
      <c r="J146" s="11">
        <f>AVERAGE(Table1[[#This Row],[Autumn Week 1]:[Spring Week 12]])*4*Table1[[#This Row],[Credits]]</f>
        <v>10</v>
      </c>
      <c r="K146" s="11">
        <v>0.1</v>
      </c>
      <c r="L146" s="18"/>
      <c r="M146" s="18"/>
      <c r="N146" s="18"/>
      <c r="O146" s="19"/>
      <c r="P146" s="18"/>
      <c r="Q146" s="18">
        <v>2.5000000000000001E-2</v>
      </c>
      <c r="R146" s="18"/>
      <c r="S146" s="19"/>
      <c r="T146" s="18"/>
      <c r="U146" s="18"/>
      <c r="V146" s="18">
        <v>2.5000000000000001E-2</v>
      </c>
      <c r="W146" s="19"/>
      <c r="X146" s="20"/>
      <c r="Y146" s="20"/>
      <c r="Z146" s="20"/>
      <c r="AA146" s="20"/>
      <c r="AB146" s="20"/>
      <c r="AC146" s="20">
        <v>7.4999999999999997E-2</v>
      </c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0.125</v>
      </c>
      <c r="AL146" s="27">
        <f>IF(Table1[[#This Row],[Hours]]&gt;0,Table1[[#This Row],[Hours]],Table1[[#This Row],[Nominal Hours]])*COUNTIF(Table1[[#This Row],[Autumn Week 1]:[Spring Week 12]],"&gt;0")</f>
        <v>0.30000000000000004</v>
      </c>
    </row>
    <row r="147" spans="1:38">
      <c r="A147" s="4" t="s">
        <v>74</v>
      </c>
      <c r="B147" s="2" t="s">
        <v>23</v>
      </c>
      <c r="C147" s="11" t="s">
        <v>122</v>
      </c>
      <c r="D147" s="29">
        <f>INDEX(Table2[CA weight],MATCH(Table1[[#This Row],[Module Code]],Table2[Module Code],0))</f>
        <v>75</v>
      </c>
      <c r="E147" s="29">
        <f>INDEX(Table2[Credits],MATCH(Table1[[#This Row],[Module Code]],Table2[Module Code],0))</f>
        <v>60</v>
      </c>
      <c r="F147" s="11" t="s">
        <v>339</v>
      </c>
      <c r="G147" s="11" t="s">
        <v>229</v>
      </c>
      <c r="H147" s="11" t="s">
        <v>351</v>
      </c>
      <c r="I147" s="11">
        <v>1</v>
      </c>
      <c r="J147" s="11">
        <f>AVERAGE(Table1[[#This Row],[Autumn Week 1]:[Spring Week 12]])*4*Table1[[#This Row],[Credits]]</f>
        <v>60</v>
      </c>
      <c r="K147" s="11">
        <v>0.1</v>
      </c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>
        <v>0.25</v>
      </c>
      <c r="AJ147" s="20"/>
      <c r="AK147" s="27">
        <f>SUMIF(Table1[[#This Row],[Autumn Week 1]:[Spring Week 12]],"&gt;0",Table1[[#This Row],[Autumn Week 1]:[Spring Week 12]])</f>
        <v>0.25</v>
      </c>
      <c r="AL147" s="27">
        <f>IF(Table1[[#This Row],[Hours]]&gt;0,Table1[[#This Row],[Hours]],Table1[[#This Row],[Nominal Hours]])*COUNTIF(Table1[[#This Row],[Autumn Week 1]:[Spring Week 12]],"&gt;0")</f>
        <v>0.1</v>
      </c>
    </row>
    <row r="148" spans="1:38">
      <c r="A148" s="4" t="s">
        <v>74</v>
      </c>
      <c r="B148" s="2" t="s">
        <v>23</v>
      </c>
      <c r="C148" s="11" t="s">
        <v>124</v>
      </c>
      <c r="D148" s="29">
        <f>INDEX(Table2[CA weight],MATCH(Table1[[#This Row],[Module Code]],Table2[Module Code],0))</f>
        <v>75</v>
      </c>
      <c r="E148" s="29">
        <f>INDEX(Table2[Credits],MATCH(Table1[[#This Row],[Module Code]],Table2[Module Code],0))</f>
        <v>60</v>
      </c>
      <c r="F148" s="11" t="s">
        <v>340</v>
      </c>
      <c r="G148" s="11" t="s">
        <v>229</v>
      </c>
      <c r="H148" s="11" t="s">
        <v>327</v>
      </c>
      <c r="I148" s="11">
        <v>1</v>
      </c>
      <c r="J148" s="11">
        <f>AVERAGE(Table1[[#This Row],[Autumn Week 1]:[Spring Week 12]])*4*Table1[[#This Row],[Credits]]</f>
        <v>24</v>
      </c>
      <c r="K148" s="11">
        <v>1</v>
      </c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>
        <v>0.1</v>
      </c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0.1</v>
      </c>
      <c r="AL148" s="27">
        <f>IF(Table1[[#This Row],[Hours]]&gt;0,Table1[[#This Row],[Hours]],Table1[[#This Row],[Nominal Hours]])*COUNTIF(Table1[[#This Row],[Autumn Week 1]:[Spring Week 12]],"&gt;0")</f>
        <v>1</v>
      </c>
    </row>
    <row r="149" spans="1:38">
      <c r="A149" s="4" t="s">
        <v>74</v>
      </c>
      <c r="B149" s="2" t="s">
        <v>23</v>
      </c>
      <c r="C149" s="11" t="s">
        <v>123</v>
      </c>
      <c r="D149" s="29">
        <f>INDEX(Table2[CA weight],MATCH(Table1[[#This Row],[Module Code]],Table2[Module Code],0))</f>
        <v>75</v>
      </c>
      <c r="E149" s="29">
        <f>INDEX(Table2[Credits],MATCH(Table1[[#This Row],[Module Code]],Table2[Module Code],0))</f>
        <v>60</v>
      </c>
      <c r="F149" s="11" t="s">
        <v>341</v>
      </c>
      <c r="G149" s="11" t="s">
        <v>220</v>
      </c>
      <c r="H149" s="11" t="s">
        <v>305</v>
      </c>
      <c r="I149" s="11">
        <v>11</v>
      </c>
      <c r="J149" s="11">
        <f>AVERAGE(Table1[[#This Row],[Autumn Week 1]:[Spring Week 12]])*4*Table1[[#This Row],[Credits]]</f>
        <v>48</v>
      </c>
      <c r="K149" s="11">
        <v>10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>
        <v>0.2</v>
      </c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10</v>
      </c>
    </row>
    <row r="150" spans="1:38">
      <c r="A150" s="4" t="s">
        <v>74</v>
      </c>
      <c r="B150" s="2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232</v>
      </c>
      <c r="G150" s="11" t="s">
        <v>229</v>
      </c>
      <c r="H150" s="11" t="s">
        <v>351</v>
      </c>
      <c r="I150" s="11">
        <v>11</v>
      </c>
      <c r="J150" s="11">
        <f>AVERAGE(Table1[[#This Row],[Autumn Week 1]:[Spring Week 12]])*4*Table1[[#This Row],[Credits]]</f>
        <v>96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>
        <v>0.4</v>
      </c>
      <c r="AJ150" s="20"/>
      <c r="AK150" s="27">
        <f>SUMIF(Table1[[#This Row],[Autumn Week 1]:[Spring Week 12]],"&gt;0",Table1[[#This Row],[Autumn Week 1]:[Spring Week 12]])</f>
        <v>0.4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74</v>
      </c>
      <c r="B151" s="2" t="s">
        <v>23</v>
      </c>
      <c r="C151" s="11" t="s">
        <v>121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342</v>
      </c>
      <c r="G151" s="11" t="s">
        <v>229</v>
      </c>
      <c r="H151" s="11" t="s">
        <v>315</v>
      </c>
      <c r="I151" s="11">
        <v>1</v>
      </c>
      <c r="J151" s="11" t="e">
        <f>AVERAGE(Table1[[#This Row],[Autumn Week 1]:[Spring Week 12]])*4*Table1[[#This Row],[Credits]]</f>
        <v>#DIV/0!</v>
      </c>
      <c r="K151" s="11">
        <v>15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>
        <v>0.15</v>
      </c>
      <c r="AK151" s="27">
        <f>SUMIF(Table1[[#This Row],[Autumn Week 1]:[Spring Week 12]],"&gt;0",Table1[[#This Row],[Autumn Week 1]:[Spring Week 12]])</f>
        <v>0</v>
      </c>
      <c r="AL151" s="27">
        <f>IF(Table1[[#This Row],[Hours]]&gt;0,Table1[[#This Row],[Hours]],Table1[[#This Row],[Nominal Hours]])*COUNTIF(Table1[[#This Row],[Autumn Week 1]:[Spring Week 12]],"&gt;0")</f>
        <v>0</v>
      </c>
    </row>
    <row r="152" spans="1:38">
      <c r="A152" s="4" t="s">
        <v>74</v>
      </c>
      <c r="B152" s="2" t="s">
        <v>23</v>
      </c>
      <c r="C152" s="11" t="s">
        <v>313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37" t="s">
        <v>343</v>
      </c>
      <c r="G152" s="11" t="s">
        <v>229</v>
      </c>
      <c r="H152" s="11" t="s">
        <v>315</v>
      </c>
      <c r="I152" s="11">
        <v>1</v>
      </c>
      <c r="J152" s="11" t="e">
        <f>AVERAGE(Table1[[#This Row],[Autumn Week 1]:[Spring Week 12]])*4*Table1[[#This Row],[Credits]]</f>
        <v>#DIV/0!</v>
      </c>
      <c r="K152" s="11">
        <v>2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SUMIF(Table1[[#This Row],[Autumn Week 1]:[Spring Week 12]],"&gt;0",Table1[[#This Row],[Autumn Week 1]:[Spring Week 12]])</f>
        <v>0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244</v>
      </c>
      <c r="B153" s="2" t="s">
        <v>245</v>
      </c>
      <c r="C153" s="11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1" t="s">
        <v>275</v>
      </c>
      <c r="G153" s="11" t="s">
        <v>229</v>
      </c>
      <c r="H153" s="11" t="s">
        <v>305</v>
      </c>
      <c r="I153" s="11">
        <v>2</v>
      </c>
      <c r="J153" s="11">
        <f>AVERAGE(Table1[[#This Row],[Autumn Week 1]:[Spring Week 12]])*4*Table1[[#This Row],[Credits]]</f>
        <v>16</v>
      </c>
      <c r="K153" s="11"/>
      <c r="L153" s="18"/>
      <c r="M153" s="18"/>
      <c r="N153" s="18"/>
      <c r="O153" s="19">
        <v>0.4</v>
      </c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0.4</v>
      </c>
      <c r="AL153" s="27">
        <f>IF(Table1[[#This Row],[Hours]]&gt;0,Table1[[#This Row],[Hours]],Table1[[#This Row],[Nominal Hours]])*COUNTIF(Table1[[#This Row],[Autumn Week 1]:[Spring Week 12]],"&gt;0")</f>
        <v>16</v>
      </c>
    </row>
    <row r="154" spans="1:38">
      <c r="A154" s="4" t="s">
        <v>244</v>
      </c>
      <c r="B154" s="2" t="s">
        <v>245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276</v>
      </c>
      <c r="G154" s="11" t="s">
        <v>229</v>
      </c>
      <c r="H154" s="11" t="s">
        <v>305</v>
      </c>
      <c r="I154" s="11">
        <v>4</v>
      </c>
      <c r="J154" s="11">
        <f>AVERAGE(Table1[[#This Row],[Autumn Week 1]:[Spring Week 12]])*4*Table1[[#This Row],[Credits]]</f>
        <v>16</v>
      </c>
      <c r="K154" s="11"/>
      <c r="L154" s="18"/>
      <c r="M154" s="18"/>
      <c r="N154" s="18"/>
      <c r="O154" s="19"/>
      <c r="P154" s="18"/>
      <c r="Q154" s="18"/>
      <c r="R154" s="18"/>
      <c r="S154" s="19">
        <v>0.4</v>
      </c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244</v>
      </c>
      <c r="B155" s="2" t="s">
        <v>245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277</v>
      </c>
      <c r="G155" s="11" t="s">
        <v>229</v>
      </c>
      <c r="H155" s="11" t="s">
        <v>305</v>
      </c>
      <c r="I155" s="11">
        <v>3</v>
      </c>
      <c r="J155" s="11">
        <f>AVERAGE(Table1[[#This Row],[Autumn Week 1]:[Spring Week 12]])*4*Table1[[#This Row],[Credits]]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>
        <v>0.2</v>
      </c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4" t="s">
        <v>246</v>
      </c>
      <c r="B156" s="2" t="s">
        <v>247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205</v>
      </c>
      <c r="G156" s="11" t="s">
        <v>229</v>
      </c>
      <c r="H156" s="11" t="s">
        <v>305</v>
      </c>
      <c r="I156" s="11">
        <v>5</v>
      </c>
      <c r="J156" s="11">
        <f>AVERAGE(Table1[[#This Row],[Autumn Week 1]:[Spring Week 12]])*4*Table1[[#This Row],[Credits]]</f>
        <v>20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>
        <v>0.5</v>
      </c>
      <c r="AD156" s="20"/>
      <c r="AE156" s="20"/>
      <c r="AF156" s="20"/>
      <c r="AG156" s="20"/>
      <c r="AH156" s="20">
        <v>0.5</v>
      </c>
      <c r="AI156" s="20"/>
      <c r="AJ156" s="20"/>
      <c r="AK156" s="27">
        <f>SUMIF(Table1[[#This Row],[Autumn Week 1]:[Spring Week 12]],"&gt;0",Table1[[#This Row],[Autumn Week 1]:[Spring Week 12]])</f>
        <v>1</v>
      </c>
      <c r="AL156" s="27">
        <f>IF(Table1[[#This Row],[Hours]]&gt;0,Table1[[#This Row],[Hours]],Table1[[#This Row],[Nominal Hours]])*COUNTIF(Table1[[#This Row],[Autumn Week 1]:[Spring Week 12]],"&gt;0")</f>
        <v>40</v>
      </c>
    </row>
    <row r="157" spans="1:38">
      <c r="A157" s="4" t="s">
        <v>242</v>
      </c>
      <c r="B157" s="28" t="s">
        <v>243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304</v>
      </c>
      <c r="G157" s="11" t="s">
        <v>229</v>
      </c>
      <c r="H157" s="11" t="s">
        <v>305</v>
      </c>
      <c r="I157" s="11">
        <v>1</v>
      </c>
      <c r="J157" s="11">
        <f>AVERAGE(Table1[[#This Row],[Autumn Week 1]:[Spring Week 12]])*4*Table1[[#This Row],[Credits]]</f>
        <v>1.9999999999999998</v>
      </c>
      <c r="K157" s="11"/>
      <c r="L157" s="18">
        <v>0.05</v>
      </c>
      <c r="M157" s="18">
        <v>0.05</v>
      </c>
      <c r="N157" s="18">
        <v>0.05</v>
      </c>
      <c r="O157" s="18">
        <v>0.05</v>
      </c>
      <c r="P157" s="18">
        <v>0.05</v>
      </c>
      <c r="Q157" s="18">
        <v>0.05</v>
      </c>
      <c r="R157" s="18">
        <v>0.05</v>
      </c>
      <c r="S157" s="18">
        <v>0.05</v>
      </c>
      <c r="T157" s="18">
        <v>0.05</v>
      </c>
      <c r="U157" s="18">
        <v>0.05</v>
      </c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0.49999999999999994</v>
      </c>
      <c r="AL157" s="27">
        <f>IF(Table1[[#This Row],[Hours]]&gt;0,Table1[[#This Row],[Hours]],Table1[[#This Row],[Nominal Hours]])*COUNTIF(Table1[[#This Row],[Autumn Week 1]:[Spring Week 12]],"&gt;0")</f>
        <v>19.999999999999996</v>
      </c>
    </row>
    <row r="158" spans="1:38">
      <c r="A158" s="4" t="s">
        <v>242</v>
      </c>
      <c r="B158" s="28" t="s">
        <v>243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306</v>
      </c>
      <c r="G158" s="11" t="s">
        <v>229</v>
      </c>
      <c r="H158" s="11" t="s">
        <v>305</v>
      </c>
      <c r="I158" s="11">
        <v>1</v>
      </c>
      <c r="J158" s="11">
        <f>AVERAGE(Table1[[#This Row],[Autumn Week 1]:[Spring Week 12]])*4*Table1[[#This Row],[Credits]]</f>
        <v>0.79999999999999982</v>
      </c>
      <c r="K158" s="11"/>
      <c r="L158" s="18">
        <v>0.02</v>
      </c>
      <c r="M158" s="18">
        <v>0.02</v>
      </c>
      <c r="N158" s="18">
        <v>0.02</v>
      </c>
      <c r="O158" s="18">
        <v>0.02</v>
      </c>
      <c r="P158" s="18">
        <v>0.02</v>
      </c>
      <c r="Q158" s="18">
        <v>0.02</v>
      </c>
      <c r="R158" s="18">
        <v>0.02</v>
      </c>
      <c r="S158" s="18">
        <v>0.02</v>
      </c>
      <c r="T158" s="18">
        <v>0.02</v>
      </c>
      <c r="U158" s="18">
        <v>0.02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0.19999999999999998</v>
      </c>
      <c r="AL158" s="27">
        <f>IF(Table1[[#This Row],[Hours]]&gt;0,Table1[[#This Row],[Hours]],Table1[[#This Row],[Nominal Hours]])*COUNTIF(Table1[[#This Row],[Autumn Week 1]:[Spring Week 12]],"&gt;0")</f>
        <v>7.9999999999999982</v>
      </c>
    </row>
    <row r="159" spans="1:38">
      <c r="A159" s="4" t="s">
        <v>242</v>
      </c>
      <c r="B159" s="28" t="s">
        <v>243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307</v>
      </c>
      <c r="G159" s="11" t="s">
        <v>229</v>
      </c>
      <c r="H159" s="11" t="s">
        <v>305</v>
      </c>
      <c r="I159" s="11">
        <v>11</v>
      </c>
      <c r="J159" s="11">
        <f>AVERAGE(Table1[[#This Row],[Autumn Week 1]:[Spring Week 12]])*4*Table1[[#This Row],[Credits]]</f>
        <v>12</v>
      </c>
      <c r="K159" s="11"/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>
        <v>0.3</v>
      </c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0.3</v>
      </c>
      <c r="AL159" s="27">
        <f>IF(Table1[[#This Row],[Hours]]&gt;0,Table1[[#This Row],[Hours]],Table1[[#This Row],[Nominal Hours]])*COUNTIF(Table1[[#This Row],[Autumn Week 1]:[Spring Week 12]],"&gt;0")</f>
        <v>12</v>
      </c>
    </row>
    <row r="160" spans="1:38">
      <c r="A160" s="4" t="s">
        <v>181</v>
      </c>
      <c r="B160" s="2" t="s">
        <v>184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20</v>
      </c>
      <c r="F160" s="11" t="s">
        <v>308</v>
      </c>
      <c r="G160" s="11" t="s">
        <v>229</v>
      </c>
      <c r="H160" s="11" t="s">
        <v>305</v>
      </c>
      <c r="I160" s="11">
        <v>2</v>
      </c>
      <c r="J160" s="11">
        <f>AVERAGE(Table1[[#This Row],[Autumn Week 1]:[Spring Week 12]])*4*Table1[[#This Row],[Credits]]</f>
        <v>4</v>
      </c>
      <c r="K160" s="11"/>
      <c r="L160" s="18"/>
      <c r="M160" s="18"/>
      <c r="N160" s="18">
        <v>0.05</v>
      </c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0.05</v>
      </c>
      <c r="AL160" s="27">
        <f>IF(Table1[[#This Row],[Hours]]&gt;0,Table1[[#This Row],[Hours]],Table1[[#This Row],[Nominal Hours]])*COUNTIF(Table1[[#This Row],[Autumn Week 1]:[Spring Week 12]],"&gt;0")</f>
        <v>4</v>
      </c>
    </row>
    <row r="161" spans="1:38">
      <c r="A161" s="4" t="s">
        <v>181</v>
      </c>
      <c r="B161" s="2" t="s">
        <v>184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309</v>
      </c>
      <c r="G161" s="11" t="s">
        <v>229</v>
      </c>
      <c r="H161" s="11" t="s">
        <v>305</v>
      </c>
      <c r="I161" s="11">
        <v>2</v>
      </c>
      <c r="J161" s="11">
        <f>AVERAGE(Table1[[#This Row],[Autumn Week 1]:[Spring Week 12]])*4*Table1[[#This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181</v>
      </c>
      <c r="B162" s="2" t="s">
        <v>184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310</v>
      </c>
      <c r="G162" s="11" t="s">
        <v>229</v>
      </c>
      <c r="H162" s="11" t="s">
        <v>311</v>
      </c>
      <c r="I162" s="11">
        <v>3</v>
      </c>
      <c r="J162" s="11">
        <f>AVERAGE(Table1[[#This Row],[Autumn Week 1]:[Spring Week 12]])*4*Table1[[#This Row],[Credits]]</f>
        <v>24</v>
      </c>
      <c r="K162" s="11"/>
      <c r="L162" s="18"/>
      <c r="M162" s="18"/>
      <c r="N162" s="18"/>
      <c r="O162" s="19"/>
      <c r="P162" s="18">
        <v>0.3</v>
      </c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0.3</v>
      </c>
      <c r="AL162" s="27">
        <f>IF(Table1[[#This Row],[Hours]]&gt;0,Table1[[#This Row],[Hours]],Table1[[#This Row],[Nominal Hours]])*COUNTIF(Table1[[#This Row],[Autumn Week 1]:[Spring Week 12]],"&gt;0")</f>
        <v>24</v>
      </c>
    </row>
    <row r="163" spans="1:38">
      <c r="A163" s="4" t="s">
        <v>181</v>
      </c>
      <c r="B163" s="2" t="s">
        <v>184</v>
      </c>
      <c r="C163" s="11" t="s">
        <v>123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265</v>
      </c>
      <c r="G163" s="11" t="s">
        <v>229</v>
      </c>
      <c r="H163" s="11" t="s">
        <v>305</v>
      </c>
      <c r="I163" s="11">
        <v>6</v>
      </c>
      <c r="J163" s="11">
        <f>AVERAGE(Table1[[#This Row],[Autumn Week 1]:[Spring Week 12]])*4*Table1[[#This Row],[Credits]]</f>
        <v>8</v>
      </c>
      <c r="K163" s="11">
        <v>4</v>
      </c>
      <c r="L163" s="18"/>
      <c r="M163" s="18"/>
      <c r="N163" s="18"/>
      <c r="O163" s="19"/>
      <c r="P163" s="18"/>
      <c r="Q163" s="18">
        <v>0.1</v>
      </c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</v>
      </c>
      <c r="AL163" s="27">
        <f>IF(Table1[[#This Row],[Hours]]&gt;0,Table1[[#This Row],[Hours]],Table1[[#This Row],[Nominal Hours]])*COUNTIF(Table1[[#This Row],[Autumn Week 1]:[Spring Week 12]],"&gt;0")</f>
        <v>4</v>
      </c>
    </row>
    <row r="164" spans="1:38">
      <c r="A164" s="4" t="s">
        <v>181</v>
      </c>
      <c r="B164" s="2" t="s">
        <v>184</v>
      </c>
      <c r="C164" s="11" t="s">
        <v>122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312</v>
      </c>
      <c r="G164" s="11" t="s">
        <v>229</v>
      </c>
      <c r="H164" s="11" t="s">
        <v>305</v>
      </c>
      <c r="I164" s="11">
        <v>6</v>
      </c>
      <c r="J164" s="11">
        <f>AVERAGE(Table1[[#This Row],[Autumn Week 1]:[Spring Week 12]])*4*Table1[[#This Row],[Credits]]</f>
        <v>24</v>
      </c>
      <c r="K164" s="11">
        <v>0.5</v>
      </c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0.5</v>
      </c>
    </row>
    <row r="165" spans="1:38">
      <c r="A165" s="4" t="s">
        <v>181</v>
      </c>
      <c r="B165" s="2" t="s">
        <v>184</v>
      </c>
      <c r="C165" s="11" t="s">
        <v>313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314</v>
      </c>
      <c r="G165" s="11" t="s">
        <v>229</v>
      </c>
      <c r="H165" s="11" t="s">
        <v>315</v>
      </c>
      <c r="I165" s="11">
        <v>1</v>
      </c>
      <c r="J165" s="11">
        <f>AVERAGE(Table1[[#This Row],[Autumn Week 1]:[Spring Week 12]])*4*Table1[[#This Row],[Credits]]</f>
        <v>16</v>
      </c>
      <c r="K165" s="11">
        <v>1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0.2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0.2</v>
      </c>
      <c r="AL165" s="27">
        <f>IF(Table1[[#This Row],[Hours]]&gt;0,Table1[[#This Row],[Hours]],Table1[[#This Row],[Nominal Hours]])*COUNTIF(Table1[[#This Row],[Autumn Week 1]:[Spring Week 12]],"&gt;0")</f>
        <v>1</v>
      </c>
    </row>
    <row r="166" spans="1:38">
      <c r="A166" s="4" t="s">
        <v>182</v>
      </c>
      <c r="B166" s="2" t="s">
        <v>185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316</v>
      </c>
      <c r="G166" s="11" t="s">
        <v>229</v>
      </c>
      <c r="H166" s="11" t="s">
        <v>305</v>
      </c>
      <c r="I166" s="11">
        <v>3</v>
      </c>
      <c r="J166" s="11">
        <f>AVERAGE(Table1[[#This Row],[Autumn Week 1]:[Spring Week 12]])*4*Table1[[#This Row],[Credits]]</f>
        <v>4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>
        <v>0.05</v>
      </c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182</v>
      </c>
      <c r="B167" s="2" t="s">
        <v>185</v>
      </c>
      <c r="C167" s="11" t="s">
        <v>123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312</v>
      </c>
      <c r="G167" s="11" t="s">
        <v>229</v>
      </c>
      <c r="H167" s="11" t="s">
        <v>305</v>
      </c>
      <c r="I167" s="11">
        <v>7</v>
      </c>
      <c r="J167" s="11">
        <f>AVERAGE(Table1[[#This Row],[Autumn Week 1]:[Spring Week 12]])*4*Table1[[#This Row],[Credits]]</f>
        <v>16</v>
      </c>
      <c r="K167" s="11">
        <v>0.5</v>
      </c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>
        <v>0.2</v>
      </c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0.2</v>
      </c>
      <c r="AL167" s="27">
        <f>IF(Table1[[#This Row],[Hours]]&gt;0,Table1[[#This Row],[Hours]],Table1[[#This Row],[Nominal Hours]])*COUNTIF(Table1[[#This Row],[Autumn Week 1]:[Spring Week 12]],"&gt;0")</f>
        <v>0.5</v>
      </c>
    </row>
    <row r="168" spans="1:38">
      <c r="A168" s="4" t="s">
        <v>182</v>
      </c>
      <c r="B168" s="2" t="s">
        <v>185</v>
      </c>
      <c r="C168" s="11" t="s">
        <v>122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317</v>
      </c>
      <c r="G168" s="11" t="s">
        <v>229</v>
      </c>
      <c r="H168" s="11" t="s">
        <v>305</v>
      </c>
      <c r="I168" s="11">
        <v>6</v>
      </c>
      <c r="J168" s="11">
        <f>AVERAGE(Table1[[#This Row],[Autumn Week 1]:[Spring Week 12]])*4*Table1[[#This Row],[Credits]]</f>
        <v>24</v>
      </c>
      <c r="K168" s="11"/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>
        <v>0.3</v>
      </c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0.3</v>
      </c>
      <c r="AL168" s="27">
        <f>IF(Table1[[#This Row],[Hours]]&gt;0,Table1[[#This Row],[Hours]],Table1[[#This Row],[Nominal Hours]])*COUNTIF(Table1[[#This Row],[Autumn Week 1]:[Spring Week 12]],"&gt;0")</f>
        <v>24</v>
      </c>
    </row>
    <row r="169" spans="1:38">
      <c r="A169" s="4" t="s">
        <v>182</v>
      </c>
      <c r="B169" s="2" t="s">
        <v>185</v>
      </c>
      <c r="C169" s="11" t="s">
        <v>123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318</v>
      </c>
      <c r="G169" s="11" t="s">
        <v>229</v>
      </c>
      <c r="H169" s="11" t="s">
        <v>305</v>
      </c>
      <c r="I169" s="11">
        <v>6</v>
      </c>
      <c r="J169" s="11">
        <f>AVERAGE(Table1[[#This Row],[Autumn Week 1]:[Spring Week 12]])*4*Table1[[#This Row],[Credits]]</f>
        <v>36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>
        <v>0.45</v>
      </c>
      <c r="AJ169" s="20"/>
      <c r="AK169" s="27">
        <f>SUMIF(Table1[[#This Row],[Autumn Week 1]:[Spring Week 12]],"&gt;0",Table1[[#This Row],[Autumn Week 1]:[Spring Week 12]])</f>
        <v>0.45</v>
      </c>
      <c r="AL169" s="27">
        <f>IF(Table1[[#This Row],[Hours]]&gt;0,Table1[[#This Row],[Hours]],Table1[[#This Row],[Nominal Hours]])*COUNTIF(Table1[[#This Row],[Autumn Week 1]:[Spring Week 12]],"&gt;0")</f>
        <v>36</v>
      </c>
    </row>
    <row r="170" spans="1:38">
      <c r="A170" s="3" t="s">
        <v>319</v>
      </c>
      <c r="B170" s="28" t="s">
        <v>320</v>
      </c>
      <c r="C170" s="11" t="s">
        <v>5</v>
      </c>
      <c r="D170" s="29">
        <f>INDEX(Table2[CA weight],MATCH(Table1[[#This Row],[Module Code]],Table2[Module Code],0))</f>
        <v>30</v>
      </c>
      <c r="E170" s="29">
        <f>INDEX(Table2[Credits],MATCH(Table1[[#This Row],[Module Code]],Table2[Module Code],0))</f>
        <v>10</v>
      </c>
      <c r="F170" s="11" t="s">
        <v>321</v>
      </c>
      <c r="G170" s="11" t="s">
        <v>229</v>
      </c>
      <c r="H170" s="11" t="s">
        <v>322</v>
      </c>
      <c r="I170" s="11">
        <v>4</v>
      </c>
      <c r="J170" s="11">
        <f>AVERAGE(Table1[[#This Row],[Autumn Week 1]:[Spring Week 12]])*4*Table1[[#This Row],[Credits]]</f>
        <v>4</v>
      </c>
      <c r="K170" s="11"/>
      <c r="L170" s="18"/>
      <c r="M170" s="18"/>
      <c r="N170" s="18"/>
      <c r="O170" s="19"/>
      <c r="P170" s="18"/>
      <c r="Q170" s="18"/>
      <c r="R170" s="18">
        <v>0.1</v>
      </c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0.1</v>
      </c>
      <c r="AL170" s="2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3" t="s">
        <v>319</v>
      </c>
      <c r="B171" s="28" t="s">
        <v>320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323</v>
      </c>
      <c r="G171" s="11" t="s">
        <v>229</v>
      </c>
      <c r="H171" s="11" t="s">
        <v>322</v>
      </c>
      <c r="I171" s="11">
        <v>6</v>
      </c>
      <c r="J171" s="11">
        <f>AVERAGE(Table1[[#This Row],[Autumn Week 1]:[Spring Week 12]])*4*Table1[[#This Row],[Credits]]</f>
        <v>8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>
        <v>0.2</v>
      </c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0.2</v>
      </c>
      <c r="AL171" s="27">
        <f>IF(Table1[[#This Row],[Hours]]&gt;0,Table1[[#This Row],[Hours]],Table1[[#This Row],[Nominal Hours]])*COUNTIF(Table1[[#This Row],[Autumn Week 1]:[Spring Week 12]],"&gt;0")</f>
        <v>8</v>
      </c>
    </row>
    <row r="172" spans="1:38">
      <c r="A172" s="3" t="s">
        <v>324</v>
      </c>
      <c r="B172" s="28" t="s">
        <v>325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10</v>
      </c>
      <c r="F172" s="11" t="s">
        <v>326</v>
      </c>
      <c r="G172" s="11" t="s">
        <v>229</v>
      </c>
      <c r="H172" s="11" t="s">
        <v>327</v>
      </c>
      <c r="I172" s="11">
        <v>3</v>
      </c>
      <c r="J172" s="11">
        <f>AVERAGE(Table1[[#This Row],[Autumn Week 1]:[Spring Week 12]])*4*Table1[[#This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>
        <v>0.2</v>
      </c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324</v>
      </c>
      <c r="B173" s="28" t="s">
        <v>325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328</v>
      </c>
      <c r="G173" s="11" t="s">
        <v>229</v>
      </c>
      <c r="H173" s="11" t="s">
        <v>327</v>
      </c>
      <c r="I173" s="11">
        <v>8</v>
      </c>
      <c r="J173" s="11">
        <f>AVERAGE(Table1[[#This Row],[Autumn Week 1]:[Spring Week 12]])*4*Table1[[#This Row],[Credits]]</f>
        <v>20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>
        <v>0.5</v>
      </c>
      <c r="AJ173" s="20"/>
      <c r="AK173" s="27">
        <f>SUMIF(Table1[[#This Row],[Autumn Week 1]:[Spring Week 12]],"&gt;0",Table1[[#This Row],[Autumn Week 1]:[Spring Week 12]])</f>
        <v>0.5</v>
      </c>
      <c r="AL173" s="27">
        <f>IF(Table1[[#This Row],[Hours]]&gt;0,Table1[[#This Row],[Hours]],Table1[[#This Row],[Nominal Hours]])*COUNTIF(Table1[[#This Row],[Autumn Week 1]:[Spring Week 12]],"&gt;0")</f>
        <v>20</v>
      </c>
    </row>
    <row r="174" spans="1:38">
      <c r="A174" s="3" t="s">
        <v>324</v>
      </c>
      <c r="B174" s="28" t="s">
        <v>325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329</v>
      </c>
      <c r="G174" s="11" t="s">
        <v>229</v>
      </c>
      <c r="H174" s="11" t="s">
        <v>327</v>
      </c>
      <c r="I174" s="11">
        <v>3</v>
      </c>
      <c r="J174" s="11">
        <f>AVERAGE(Table1[[#This Row],[Autumn Week 1]:[Spring Week 12]])*4*Table1[[#This Row],[Credits]]</f>
        <v>12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0.3</v>
      </c>
      <c r="AJ174" s="20"/>
      <c r="AK174" s="27">
        <f>SUMIF(Table1[[#This Row],[Autumn Week 1]:[Spring Week 12]],"&gt;0",Table1[[#This Row],[Autumn Week 1]:[Spring Week 12]])</f>
        <v>0.3</v>
      </c>
      <c r="AL174" s="27">
        <f>IF(Table1[[#This Row],[Hours]]&gt;0,Table1[[#This Row],[Hours]],Table1[[#This Row],[Nominal Hours]])*COUNTIF(Table1[[#This Row],[Autumn Week 1]:[Spring Week 12]],"&gt;0")</f>
        <v>12</v>
      </c>
    </row>
    <row r="175" spans="1:38">
      <c r="A175" s="3" t="s">
        <v>330</v>
      </c>
      <c r="B175" s="28" t="s">
        <v>331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332</v>
      </c>
      <c r="G175" s="11" t="s">
        <v>229</v>
      </c>
      <c r="H175" s="11" t="s">
        <v>327</v>
      </c>
      <c r="I175" s="11">
        <v>4</v>
      </c>
      <c r="J175" s="11">
        <f>AVERAGE(Table1[[#This Row],[Autumn Week 1]:[Spring Week 12]])*4*Table1[[#This Row],[Credits]]</f>
        <v>40</v>
      </c>
      <c r="K175" s="11">
        <v>20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SUMIF(Table1[[#This Row],[Autumn Week 1]:[Spring Week 12]],"&gt;0",Table1[[#This Row],[Autumn Week 1]:[Spring Week 12]])</f>
        <v>0.5</v>
      </c>
      <c r="AL175" s="27">
        <f>IF(Table1[[#This Row],[Hours]]&gt;0,Table1[[#This Row],[Hours]],Table1[[#This Row],[Nominal Hours]])*COUNTIF(Table1[[#This Row],[Autumn Week 1]:[Spring Week 12]],"&gt;0")</f>
        <v>20</v>
      </c>
    </row>
    <row r="176" spans="1:38">
      <c r="A176" s="3" t="s">
        <v>330</v>
      </c>
      <c r="B176" s="28" t="s">
        <v>331</v>
      </c>
      <c r="C176" s="11" t="s">
        <v>4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333</v>
      </c>
      <c r="G176" s="11" t="s">
        <v>229</v>
      </c>
      <c r="H176" s="11" t="s">
        <v>315</v>
      </c>
      <c r="I176" s="11">
        <v>1</v>
      </c>
      <c r="J176" s="11">
        <f>AVERAGE(Table1[[#This Row],[Autumn Week 1]:[Spring Week 12]])*4*Table1[[#This Row],[Credits]]</f>
        <v>40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>
        <v>0.5</v>
      </c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3" t="s">
        <v>334</v>
      </c>
      <c r="B177" s="28" t="s">
        <v>335</v>
      </c>
      <c r="C177" s="11" t="s">
        <v>5</v>
      </c>
      <c r="D177" s="29">
        <f>INDEX(Table2[CA weight],MATCH(Table1[[#This Row],[Module Code]],Table2[Module Code],0))</f>
        <v>50</v>
      </c>
      <c r="E177" s="29">
        <f>INDEX(Table2[Credits],MATCH(Table1[[#This Row],[Module Code]],Table2[Module Code],0))</f>
        <v>20</v>
      </c>
      <c r="F177" s="11" t="s">
        <v>336</v>
      </c>
      <c r="G177" s="11" t="s">
        <v>229</v>
      </c>
      <c r="H177" s="11" t="s">
        <v>327</v>
      </c>
      <c r="I177" s="11">
        <v>2</v>
      </c>
      <c r="J177" s="11">
        <f>AVERAGE(Table1[[#This Row],[Autumn Week 1]:[Spring Week 12]])*4*Table1[[#This Row],[Credits]]</f>
        <v>40</v>
      </c>
      <c r="K177" s="11">
        <v>8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>
        <v>0.5</v>
      </c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11" activePane="bottomRight" state="frozen"/>
      <selection pane="topRight" activeCell="C1" sqref="C1"/>
      <selection pane="bottomLeft" activeCell="A2" sqref="A2"/>
      <selection pane="bottomRight" activeCell="G55" sqref="G5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abSelected="1" topLeftCell="A55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271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272</v>
      </c>
      <c r="N1" s="5" t="s">
        <v>196</v>
      </c>
      <c r="O1" s="5" t="s">
        <v>197</v>
      </c>
      <c r="P1" s="5" t="s">
        <v>386</v>
      </c>
      <c r="Q1" s="5" t="s">
        <v>387</v>
      </c>
      <c r="R1" s="5" t="s">
        <v>241</v>
      </c>
      <c r="S1" s="5" t="s">
        <v>385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46" t="s">
        <v>108</v>
      </c>
      <c r="B39" s="46" t="s">
        <v>362</v>
      </c>
      <c r="C39" s="46" t="s">
        <v>381</v>
      </c>
      <c r="D39" s="28" t="s">
        <v>180</v>
      </c>
      <c r="E39" s="46" t="s">
        <v>148</v>
      </c>
      <c r="F39" s="47">
        <v>6</v>
      </c>
      <c r="G39" s="51">
        <v>10</v>
      </c>
      <c r="H39" s="28" t="s">
        <v>144</v>
      </c>
      <c r="I39" s="49" t="s">
        <v>144</v>
      </c>
      <c r="J39" t="s">
        <v>144</v>
      </c>
      <c r="K39" s="49" t="s">
        <v>144</v>
      </c>
      <c r="L39" s="49" t="s">
        <v>144</v>
      </c>
      <c r="N39" s="49"/>
      <c r="O39" s="49"/>
      <c r="P39" s="49"/>
      <c r="Q39" s="49"/>
      <c r="T39">
        <v>2</v>
      </c>
      <c r="U39" s="49">
        <v>80</v>
      </c>
      <c r="V39" s="50">
        <f>100-Table2[[#This Row],[Exam Weight (%)]]</f>
        <v>20</v>
      </c>
      <c r="W39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296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381</v>
      </c>
      <c r="B74" s="3" t="s">
        <v>362</v>
      </c>
      <c r="C74" s="3" t="s">
        <v>108</v>
      </c>
      <c r="D74" s="28" t="s">
        <v>178</v>
      </c>
      <c r="E74" s="46" t="s">
        <v>382</v>
      </c>
      <c r="F74" s="47">
        <v>7</v>
      </c>
      <c r="G74" s="48">
        <v>10</v>
      </c>
      <c r="H74" s="28"/>
      <c r="I74" s="49"/>
      <c r="K74" s="49"/>
      <c r="L74" s="49"/>
      <c r="M74" t="s">
        <v>144</v>
      </c>
      <c r="N74" s="49" t="s">
        <v>144</v>
      </c>
      <c r="O74" s="49" t="s">
        <v>144</v>
      </c>
      <c r="P74" s="49" t="s">
        <v>144</v>
      </c>
      <c r="Q74" s="49" t="s">
        <v>144</v>
      </c>
      <c r="R74" t="s">
        <v>144</v>
      </c>
      <c r="S74" t="s">
        <v>144</v>
      </c>
      <c r="T74">
        <v>2</v>
      </c>
      <c r="U74" s="49">
        <v>80</v>
      </c>
      <c r="V74" s="50">
        <f>100-Table2[[#This Row],[Exam Weight (%)]]</f>
        <v>20</v>
      </c>
      <c r="W74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46" t="s">
        <v>319</v>
      </c>
      <c r="B96" s="46" t="s">
        <v>320</v>
      </c>
      <c r="C96" s="46"/>
      <c r="D96" s="28" t="s">
        <v>178</v>
      </c>
      <c r="E96" s="46" t="s">
        <v>147</v>
      </c>
      <c r="F96" s="47">
        <v>7</v>
      </c>
      <c r="G96" s="48">
        <v>10</v>
      </c>
      <c r="H96" s="28"/>
      <c r="I96" s="49"/>
      <c r="K96" s="49"/>
      <c r="L96" s="49"/>
      <c r="M96" t="s">
        <v>144</v>
      </c>
      <c r="N96" s="49"/>
      <c r="O96" s="49"/>
      <c r="P96" s="49"/>
      <c r="Q96" s="49"/>
      <c r="R96" t="s">
        <v>144</v>
      </c>
      <c r="S96" t="s">
        <v>144</v>
      </c>
      <c r="T96">
        <v>2</v>
      </c>
      <c r="U96">
        <v>70</v>
      </c>
      <c r="V96" s="50">
        <f>100-Table2[[#This Row],[Exam Weight (%)]]</f>
        <v>30</v>
      </c>
      <c r="W96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46" t="s">
        <v>383</v>
      </c>
      <c r="B97" s="46" t="s">
        <v>384</v>
      </c>
      <c r="C97" s="46"/>
      <c r="D97" s="28" t="s">
        <v>178</v>
      </c>
      <c r="E97" s="46" t="s">
        <v>148</v>
      </c>
      <c r="F97" s="47">
        <v>7</v>
      </c>
      <c r="G97" s="48">
        <v>10</v>
      </c>
      <c r="H97" s="28"/>
      <c r="I97" s="49"/>
      <c r="K97" s="49"/>
      <c r="L97" s="49"/>
      <c r="M97" t="s">
        <v>144</v>
      </c>
      <c r="N97" s="49"/>
      <c r="O97" s="49"/>
      <c r="P97" s="49"/>
      <c r="Q97" s="49"/>
      <c r="R97" t="s">
        <v>144</v>
      </c>
      <c r="S97" t="s">
        <v>144</v>
      </c>
      <c r="T97">
        <v>2</v>
      </c>
      <c r="U97">
        <v>100</v>
      </c>
      <c r="V97" s="50">
        <f>100-Table2[[#This Row],[Exam Weight (%)]]</f>
        <v>0</v>
      </c>
      <c r="W97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46" t="s">
        <v>324</v>
      </c>
      <c r="B98" s="46" t="s">
        <v>325</v>
      </c>
      <c r="C98" s="46"/>
      <c r="D98" s="28" t="s">
        <v>178</v>
      </c>
      <c r="E98" s="46" t="s">
        <v>148</v>
      </c>
      <c r="F98" s="47">
        <v>7</v>
      </c>
      <c r="G98" s="48">
        <v>10</v>
      </c>
      <c r="H98" s="28"/>
      <c r="I98" s="49"/>
      <c r="K98" s="49"/>
      <c r="L98" s="49"/>
      <c r="M98" t="s">
        <v>144</v>
      </c>
      <c r="N98" s="49"/>
      <c r="O98" s="49"/>
      <c r="P98" s="49"/>
      <c r="Q98" s="49"/>
      <c r="R98" t="s">
        <v>144</v>
      </c>
      <c r="S98" t="s">
        <v>144</v>
      </c>
      <c r="T98">
        <v>2</v>
      </c>
      <c r="U98">
        <v>0</v>
      </c>
      <c r="V98" s="50">
        <f>100-Table2[[#This Row],[Exam Weight (%)]]</f>
        <v>100</v>
      </c>
      <c r="W98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46" t="s">
        <v>330</v>
      </c>
      <c r="B99" s="46" t="s">
        <v>331</v>
      </c>
      <c r="C99" s="46"/>
      <c r="D99" s="28" t="s">
        <v>178</v>
      </c>
      <c r="E99" s="46" t="s">
        <v>148</v>
      </c>
      <c r="F99" s="47">
        <v>7</v>
      </c>
      <c r="G99" s="48">
        <v>20</v>
      </c>
      <c r="H99" s="28"/>
      <c r="I99" s="49"/>
      <c r="K99" s="49"/>
      <c r="L99" s="49"/>
      <c r="M99" t="s">
        <v>144</v>
      </c>
      <c r="N99" s="49"/>
      <c r="O99" s="49"/>
      <c r="P99" s="49" t="s">
        <v>143</v>
      </c>
      <c r="Q99" s="49" t="s">
        <v>143</v>
      </c>
      <c r="T99">
        <v>4</v>
      </c>
      <c r="U99">
        <v>0</v>
      </c>
      <c r="V99" s="50">
        <f>100-Table2[[#This Row],[Exam Weight (%)]]</f>
        <v>100</v>
      </c>
      <c r="W99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46" t="s">
        <v>334</v>
      </c>
      <c r="B100" s="46" t="s">
        <v>335</v>
      </c>
      <c r="C100" s="46"/>
      <c r="D100" s="28" t="s">
        <v>178</v>
      </c>
      <c r="E100" s="46" t="s">
        <v>147</v>
      </c>
      <c r="F100" s="47">
        <v>7</v>
      </c>
      <c r="G100" s="48">
        <v>20</v>
      </c>
      <c r="H100" s="28"/>
      <c r="I100" s="49"/>
      <c r="K100" s="49"/>
      <c r="L100" s="49"/>
      <c r="M100" t="s">
        <v>144</v>
      </c>
      <c r="N100" s="49"/>
      <c r="O100" s="49"/>
      <c r="P100" s="49" t="s">
        <v>143</v>
      </c>
      <c r="Q100" s="49" t="s">
        <v>143</v>
      </c>
      <c r="T100">
        <v>4</v>
      </c>
      <c r="U100">
        <v>50</v>
      </c>
      <c r="V100" s="50">
        <f>100-Table2[[#This Row],[Exam Weight (%)]]</f>
        <v>50</v>
      </c>
      <c r="W100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9" priority="16" operator="containsText" text="O">
      <formula>NOT(ISERROR(SEARCH("O",H2)))</formula>
    </cfRule>
    <cfRule type="containsText" dxfId="8" priority="17" operator="containsText" text="C">
      <formula>NOT(ISERROR(SEARCH("C",H2)))</formula>
    </cfRule>
  </conditionalFormatting>
  <conditionalFormatting sqref="W2:W100">
    <cfRule type="expression" dxfId="6" priority="9">
      <formula>W2&lt;&gt;V2</formula>
    </cfRule>
  </conditionalFormatting>
  <conditionalFormatting sqref="E96:E100">
    <cfRule type="containsText" dxfId="5" priority="4" operator="containsText" text="SEMD">
      <formula>NOT(ISERROR(SEARCH("SEMD",E96)))</formula>
    </cfRule>
    <cfRule type="containsText" dxfId="4" priority="5" operator="containsText" text="SEM2">
      <formula>NOT(ISERROR(SEARCH("SEM2",E96)))</formula>
    </cfRule>
    <cfRule type="containsText" dxfId="3" priority="6" operator="containsText" text="SEM1">
      <formula>NOT(ISERROR(SEARCH("SEM1",E96)))</formula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T96:T100">
    <cfRule type="containsText" dxfId="1" priority="2" operator="containsText" text="O">
      <formula>NOT(ISERROR(SEARCH("O",T96)))</formula>
    </cfRule>
    <cfRule type="containsText" dxfId="0" priority="3" operator="containsText" text="C">
      <formula>NOT(ISERROR(SEARCH("C",T96)))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36328125" bestFit="1" customWidth="1"/>
    <col min="2" max="2" width="9.08984375" bestFit="1" customWidth="1"/>
    <col min="3" max="4" width="19.6328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6.5</v>
      </c>
      <c r="D10">
        <f>INDEX(Table14[Total],MATCH(Sheet2!A10,Table14[Module Code],0))</f>
        <v>22</v>
      </c>
      <c r="E10">
        <f t="shared" si="0"/>
        <v>28.5</v>
      </c>
      <c r="F10">
        <f t="shared" si="1"/>
        <v>2.85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30</v>
      </c>
      <c r="D18">
        <f>INDEX(Table14[Total],MATCH(Sheet2!A18,Table14[Module Code],0))</f>
        <v>22</v>
      </c>
      <c r="E18">
        <f t="shared" si="0"/>
        <v>52</v>
      </c>
      <c r="F18">
        <f t="shared" si="1"/>
        <v>5.2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45</v>
      </c>
      <c r="D30">
        <f>INDEX(Table14[Total],MATCH(Sheet2!A30,Table14[Module Code],0))</f>
        <v>22</v>
      </c>
      <c r="E30">
        <f t="shared" si="0"/>
        <v>67</v>
      </c>
      <c r="F30">
        <f t="shared" si="1"/>
        <v>6.7</v>
      </c>
    </row>
    <row r="31" spans="1:6">
      <c r="A31" t="s">
        <v>10</v>
      </c>
      <c r="B31" s="38">
        <v>10</v>
      </c>
      <c r="C31">
        <f>SUMIF(Table1[Module Code],Sheet2!A31,Table1[Total Hours])</f>
        <v>2.6666666666666665</v>
      </c>
      <c r="D31">
        <f>INDEX(Table14[Total],MATCH(Sheet2!A31,Table14[Module Code],0))</f>
        <v>22</v>
      </c>
      <c r="E31">
        <f t="shared" si="0"/>
        <v>24.666666666666668</v>
      </c>
      <c r="F31">
        <f t="shared" si="1"/>
        <v>2.4666666666666668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45</v>
      </c>
      <c r="D34">
        <f>INDEX(Table14[Total],MATCH(Sheet2!A34,Table14[Module Code],0))</f>
        <v>22</v>
      </c>
      <c r="E34">
        <f t="shared" si="0"/>
        <v>67</v>
      </c>
      <c r="F34">
        <f t="shared" si="1"/>
        <v>6.7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5</v>
      </c>
      <c r="D50">
        <f>INDEX(Table14[Total],MATCH(Sheet2!A50,Table14[Module Code],0))</f>
        <v>22</v>
      </c>
      <c r="E50">
        <f t="shared" si="0"/>
        <v>27</v>
      </c>
      <c r="F50">
        <f t="shared" si="1"/>
        <v>2.7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69</v>
      </c>
      <c r="B55" s="38">
        <v>10</v>
      </c>
      <c r="C55">
        <f>SUMIF(Table1[Module Code],Sheet2!A55,Table1[Total Hours])</f>
        <v>29</v>
      </c>
      <c r="D55">
        <f>INDEX(Table14[Total],MATCH(Sheet2!A55,Table14[Module Code],0))</f>
        <v>22</v>
      </c>
      <c r="E55">
        <f t="shared" si="0"/>
        <v>51</v>
      </c>
      <c r="F55">
        <f t="shared" si="1"/>
        <v>5.0999999999999996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2026-03-27T15:22:42Z</dcterms:modified>
</cp:coreProperties>
</file>