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f-my.sharepoint.com/personal/northce_cardiff_ac_uk/Documents/Documents/Cardiff/DUGS/Assessments/Schedule Modelling/"/>
    </mc:Choice>
  </mc:AlternateContent>
  <xr:revisionPtr revIDLastSave="1518" documentId="8_{F30C7968-F540-46E6-A81C-665FBDA0D3DA}" xr6:coauthVersionLast="47" xr6:coauthVersionMax="47" xr10:uidLastSave="{110D60BC-2481-4889-855B-EECDB33D830D}"/>
  <bookViews>
    <workbookView xWindow="19110" yWindow="0" windowWidth="19380" windowHeight="20970" xr2:uid="{A20BCC1C-F123-4C76-9181-B345A7D760BE}"/>
  </bookViews>
  <sheets>
    <sheet name="Assessments" sheetId="1" r:id="rId1"/>
    <sheet name="ContactTime" sheetId="3" r:id="rId2"/>
    <sheet name="Modules" sheetId="2" r:id="rId3"/>
    <sheet name="Sheet2" sheetId="4" r:id="rId4"/>
  </sheets>
  <externalReferences>
    <externalReference r:id="rId5"/>
  </externalReferences>
  <calcPr calcId="191029"/>
  <pivotCaches>
    <pivotCache cacheId="2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96" i="2" l="1"/>
  <c r="V97" i="2"/>
  <c r="V98" i="2"/>
  <c r="V99" i="2"/>
  <c r="V100" i="2"/>
  <c r="W97" i="2"/>
  <c r="V74" i="2"/>
  <c r="AK2" i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4" i="1"/>
  <c r="AK75" i="1"/>
  <c r="AK76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0" i="1"/>
  <c r="AK111" i="1"/>
  <c r="AK112" i="1"/>
  <c r="AK113" i="1"/>
  <c r="AK114" i="1"/>
  <c r="AK115" i="1"/>
  <c r="AK116" i="1"/>
  <c r="AK117" i="1"/>
  <c r="AK118" i="1"/>
  <c r="AK119" i="1"/>
  <c r="AK120" i="1"/>
  <c r="AK121" i="1"/>
  <c r="AK122" i="1"/>
  <c r="AK123" i="1"/>
  <c r="AK124" i="1"/>
  <c r="AK125" i="1"/>
  <c r="AK126" i="1"/>
  <c r="AK127" i="1"/>
  <c r="AK128" i="1"/>
  <c r="AK129" i="1"/>
  <c r="AK130" i="1"/>
  <c r="AK131" i="1"/>
  <c r="AK132" i="1"/>
  <c r="AK133" i="1"/>
  <c r="AK134" i="1"/>
  <c r="AK135" i="1"/>
  <c r="AK136" i="1"/>
  <c r="AK137" i="1"/>
  <c r="AK138" i="1"/>
  <c r="AK139" i="1"/>
  <c r="AK140" i="1"/>
  <c r="AK141" i="1"/>
  <c r="AK142" i="1"/>
  <c r="AK143" i="1"/>
  <c r="AK144" i="1"/>
  <c r="AK145" i="1"/>
  <c r="AK146" i="1"/>
  <c r="AK147" i="1"/>
  <c r="AK148" i="1"/>
  <c r="AK149" i="1"/>
  <c r="AK150" i="1"/>
  <c r="AK151" i="1"/>
  <c r="AK152" i="1"/>
  <c r="AK153" i="1"/>
  <c r="AK154" i="1"/>
  <c r="AK155" i="1"/>
  <c r="AK156" i="1"/>
  <c r="AK157" i="1"/>
  <c r="AK158" i="1"/>
  <c r="AK159" i="1"/>
  <c r="AK160" i="1"/>
  <c r="AK161" i="1"/>
  <c r="AK162" i="1"/>
  <c r="AK163" i="1"/>
  <c r="AK164" i="1"/>
  <c r="AK165" i="1"/>
  <c r="AK166" i="1"/>
  <c r="AK167" i="1"/>
  <c r="AK168" i="1"/>
  <c r="AK169" i="1"/>
  <c r="AK170" i="1"/>
  <c r="W96" i="2" s="1"/>
  <c r="AK171" i="1"/>
  <c r="AK172" i="1"/>
  <c r="AK173" i="1"/>
  <c r="AK174" i="1"/>
  <c r="W98" i="2" s="1"/>
  <c r="AK175" i="1"/>
  <c r="W99" i="2" s="1"/>
  <c r="AK176" i="1"/>
  <c r="AK177" i="1"/>
  <c r="W100" i="2" s="1"/>
  <c r="W74" i="2" l="1"/>
  <c r="V39" i="2" l="1"/>
  <c r="D97" i="1" s="1"/>
  <c r="D170" i="1"/>
  <c r="D171" i="1"/>
  <c r="D172" i="1"/>
  <c r="D173" i="1"/>
  <c r="D174" i="1"/>
  <c r="D175" i="1"/>
  <c r="D176" i="1"/>
  <c r="D177" i="1"/>
  <c r="E118" i="1"/>
  <c r="J118" i="1" s="1"/>
  <c r="AL118" i="1" s="1"/>
  <c r="E119" i="1"/>
  <c r="E120" i="1"/>
  <c r="J120" i="1" s="1"/>
  <c r="AL120" i="1" s="1"/>
  <c r="E121" i="1"/>
  <c r="E122" i="1"/>
  <c r="E123" i="1"/>
  <c r="E124" i="1"/>
  <c r="E125" i="1"/>
  <c r="E126" i="1"/>
  <c r="E111" i="1"/>
  <c r="J111" i="1" s="1"/>
  <c r="AL111" i="1" s="1"/>
  <c r="E110" i="1"/>
  <c r="J110" i="1" s="1"/>
  <c r="AL110" i="1" s="1"/>
  <c r="E97" i="1"/>
  <c r="J97" i="1" s="1"/>
  <c r="AL97" i="1" s="1"/>
  <c r="E96" i="1"/>
  <c r="J96" i="1" s="1"/>
  <c r="AL96" i="1" s="1"/>
  <c r="E91" i="1"/>
  <c r="J91" i="1" s="1"/>
  <c r="AL91" i="1" s="1"/>
  <c r="V94" i="2"/>
  <c r="D163" i="1" s="1"/>
  <c r="M71" i="1"/>
  <c r="N71" i="1"/>
  <c r="O71" i="1"/>
  <c r="P71" i="1"/>
  <c r="Q71" i="1"/>
  <c r="R71" i="1"/>
  <c r="S71" i="1"/>
  <c r="T71" i="1"/>
  <c r="U71" i="1"/>
  <c r="D36" i="1"/>
  <c r="E36" i="1"/>
  <c r="J36" i="1" s="1"/>
  <c r="AL36" i="1" s="1"/>
  <c r="L106" i="1"/>
  <c r="W39" i="2"/>
  <c r="D29" i="1"/>
  <c r="E29" i="1"/>
  <c r="J29" i="1" s="1"/>
  <c r="AL29" i="1" s="1"/>
  <c r="D19" i="1"/>
  <c r="E19" i="1"/>
  <c r="J19" i="1" s="1"/>
  <c r="AL19" i="1" s="1"/>
  <c r="D15" i="1"/>
  <c r="E15" i="1"/>
  <c r="J15" i="1" s="1"/>
  <c r="AL15" i="1" s="1"/>
  <c r="D12" i="1"/>
  <c r="E12" i="1"/>
  <c r="J12" i="1" s="1"/>
  <c r="AL12" i="1" s="1"/>
  <c r="D5" i="1"/>
  <c r="E5" i="1"/>
  <c r="J5" i="1" s="1"/>
  <c r="AL5" i="1" s="1"/>
  <c r="D50" i="1"/>
  <c r="D51" i="1"/>
  <c r="D52" i="1"/>
  <c r="E50" i="1"/>
  <c r="J50" i="1" s="1"/>
  <c r="AL50" i="1" s="1"/>
  <c r="E51" i="1"/>
  <c r="J51" i="1" s="1"/>
  <c r="AL51" i="1" s="1"/>
  <c r="E52" i="1"/>
  <c r="J52" i="1" s="1"/>
  <c r="AL52" i="1" s="1"/>
  <c r="E177" i="1"/>
  <c r="J177" i="1" s="1"/>
  <c r="AL177" i="1" s="1"/>
  <c r="E176" i="1"/>
  <c r="J176" i="1" s="1"/>
  <c r="AL176" i="1" s="1"/>
  <c r="E175" i="1"/>
  <c r="J175" i="1" s="1"/>
  <c r="AL175" i="1" s="1"/>
  <c r="E174" i="1"/>
  <c r="J174" i="1" s="1"/>
  <c r="AL174" i="1" s="1"/>
  <c r="E173" i="1"/>
  <c r="J173" i="1" s="1"/>
  <c r="AL173" i="1" s="1"/>
  <c r="E172" i="1"/>
  <c r="J172" i="1" s="1"/>
  <c r="AL172" i="1" s="1"/>
  <c r="E171" i="1"/>
  <c r="J171" i="1" s="1"/>
  <c r="AL171" i="1" s="1"/>
  <c r="E170" i="1"/>
  <c r="J170" i="1" s="1"/>
  <c r="AL170" i="1" s="1"/>
  <c r="E169" i="1"/>
  <c r="J169" i="1" s="1"/>
  <c r="AL169" i="1" s="1"/>
  <c r="E168" i="1"/>
  <c r="J168" i="1" s="1"/>
  <c r="AL168" i="1" s="1"/>
  <c r="E167" i="1"/>
  <c r="J167" i="1" s="1"/>
  <c r="AL167" i="1" s="1"/>
  <c r="E166" i="1"/>
  <c r="J166" i="1" s="1"/>
  <c r="AL166" i="1" s="1"/>
  <c r="E165" i="1"/>
  <c r="J165" i="1" s="1"/>
  <c r="AL165" i="1" s="1"/>
  <c r="D165" i="1"/>
  <c r="E164" i="1"/>
  <c r="J164" i="1" s="1"/>
  <c r="AL164" i="1" s="1"/>
  <c r="D164" i="1"/>
  <c r="E163" i="1"/>
  <c r="J163" i="1" s="1"/>
  <c r="AL163" i="1" s="1"/>
  <c r="E162" i="1"/>
  <c r="J162" i="1" s="1"/>
  <c r="AL162" i="1" s="1"/>
  <c r="E161" i="1"/>
  <c r="J161" i="1" s="1"/>
  <c r="AL161" i="1" s="1"/>
  <c r="D161" i="1"/>
  <c r="E160" i="1"/>
  <c r="J160" i="1" s="1"/>
  <c r="AL160" i="1" s="1"/>
  <c r="D160" i="1"/>
  <c r="E159" i="1"/>
  <c r="J159" i="1" s="1"/>
  <c r="AL159" i="1" s="1"/>
  <c r="E158" i="1"/>
  <c r="J158" i="1" s="1"/>
  <c r="AL158" i="1" s="1"/>
  <c r="E157" i="1"/>
  <c r="J157" i="1" s="1"/>
  <c r="AL157" i="1" s="1"/>
  <c r="E156" i="1"/>
  <c r="E155" i="1"/>
  <c r="E154" i="1"/>
  <c r="E153" i="1"/>
  <c r="E152" i="1"/>
  <c r="J152" i="1" s="1"/>
  <c r="AL152" i="1" s="1"/>
  <c r="E151" i="1"/>
  <c r="J151" i="1" s="1"/>
  <c r="E150" i="1"/>
  <c r="J150" i="1" s="1"/>
  <c r="AL150" i="1" s="1"/>
  <c r="E149" i="1"/>
  <c r="J149" i="1" s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17" i="1"/>
  <c r="E116" i="1"/>
  <c r="E115" i="1"/>
  <c r="E114" i="1"/>
  <c r="E113" i="1"/>
  <c r="E112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5" i="1"/>
  <c r="E94" i="1"/>
  <c r="E93" i="1"/>
  <c r="E92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49" i="1"/>
  <c r="E48" i="1"/>
  <c r="E47" i="1"/>
  <c r="E46" i="1"/>
  <c r="E45" i="1"/>
  <c r="E44" i="1"/>
  <c r="E43" i="1"/>
  <c r="E42" i="1"/>
  <c r="E37" i="1"/>
  <c r="E35" i="1"/>
  <c r="E34" i="1"/>
  <c r="E33" i="1"/>
  <c r="E32" i="1"/>
  <c r="E31" i="1"/>
  <c r="E30" i="1"/>
  <c r="E28" i="1"/>
  <c r="E27" i="1"/>
  <c r="E41" i="1"/>
  <c r="E40" i="1"/>
  <c r="E39" i="1"/>
  <c r="E38" i="1"/>
  <c r="E26" i="1"/>
  <c r="E25" i="1"/>
  <c r="E24" i="1"/>
  <c r="E23" i="1"/>
  <c r="E22" i="1"/>
  <c r="E21" i="1"/>
  <c r="E20" i="1"/>
  <c r="E18" i="1"/>
  <c r="E17" i="1"/>
  <c r="E16" i="1"/>
  <c r="E14" i="1"/>
  <c r="E13" i="1"/>
  <c r="E11" i="1"/>
  <c r="E10" i="1"/>
  <c r="E9" i="1"/>
  <c r="E8" i="1"/>
  <c r="E7" i="1"/>
  <c r="E6" i="1"/>
  <c r="E4" i="1"/>
  <c r="E3" i="1"/>
  <c r="E2" i="1"/>
  <c r="W94" i="2"/>
  <c r="L145" i="1"/>
  <c r="AL149" i="1"/>
  <c r="AL151" i="1"/>
  <c r="D162" i="1" l="1"/>
  <c r="D96" i="1"/>
  <c r="J93" i="1"/>
  <c r="AL93" i="1" s="1"/>
  <c r="J85" i="1"/>
  <c r="AL85" i="1" s="1"/>
  <c r="J80" i="1"/>
  <c r="AL80" i="1" s="1"/>
  <c r="J73" i="1"/>
  <c r="AL73" i="1" s="1"/>
  <c r="J69" i="1"/>
  <c r="AL69" i="1" s="1"/>
  <c r="J143" i="1" l="1"/>
  <c r="AL143" i="1" s="1"/>
  <c r="J144" i="1"/>
  <c r="AL144" i="1" s="1"/>
  <c r="J141" i="1"/>
  <c r="AL141" i="1" s="1"/>
  <c r="J133" i="1"/>
  <c r="AL133" i="1" s="1"/>
  <c r="AL131" i="1"/>
  <c r="J131" i="1"/>
  <c r="J41" i="1"/>
  <c r="AL41" i="1" s="1"/>
  <c r="J138" i="1" l="1"/>
  <c r="AL138" i="1" s="1"/>
  <c r="J57" i="1"/>
  <c r="AL57" i="1" s="1"/>
  <c r="J9" i="1" l="1"/>
  <c r="AL9" i="1" s="1"/>
  <c r="V112" i="1"/>
  <c r="U112" i="1"/>
  <c r="T112" i="1"/>
  <c r="S112" i="1"/>
  <c r="R112" i="1"/>
  <c r="Q112" i="1"/>
  <c r="P112" i="1"/>
  <c r="O112" i="1"/>
  <c r="N112" i="1"/>
  <c r="M112" i="1"/>
  <c r="J113" i="1" l="1"/>
  <c r="AL113" i="1" s="1"/>
  <c r="J21" i="1" l="1"/>
  <c r="AL21" i="1" s="1"/>
  <c r="S7" i="1"/>
  <c r="U7" i="1"/>
  <c r="O7" i="1"/>
  <c r="U6" i="1"/>
  <c r="T6" i="1"/>
  <c r="S6" i="1"/>
  <c r="R6" i="1"/>
  <c r="Q6" i="1"/>
  <c r="P6" i="1"/>
  <c r="O6" i="1"/>
  <c r="N6" i="1"/>
  <c r="M6" i="1"/>
  <c r="AL2" i="1"/>
  <c r="J2" i="1"/>
  <c r="J156" i="1"/>
  <c r="AL156" i="1" s="1"/>
  <c r="D62" i="3" l="1"/>
  <c r="E62" i="3"/>
  <c r="F62" i="3"/>
  <c r="AE62" i="3"/>
  <c r="J155" i="1"/>
  <c r="AL155" i="1" s="1"/>
  <c r="J154" i="1"/>
  <c r="AL154" i="1" s="1"/>
  <c r="J153" i="1"/>
  <c r="AL153" i="1" s="1"/>
  <c r="W11" i="2"/>
  <c r="W91" i="2"/>
  <c r="W93" i="2"/>
  <c r="AH135" i="1"/>
  <c r="AG135" i="1"/>
  <c r="AF135" i="1"/>
  <c r="AE135" i="1"/>
  <c r="AD135" i="1"/>
  <c r="AC135" i="1"/>
  <c r="AB135" i="1"/>
  <c r="AA135" i="1"/>
  <c r="Z135" i="1"/>
  <c r="Y135" i="1"/>
  <c r="X135" i="1"/>
  <c r="J136" i="1"/>
  <c r="AL136" i="1" s="1"/>
  <c r="V93" i="2"/>
  <c r="D156" i="1" s="1"/>
  <c r="V92" i="2"/>
  <c r="V91" i="2"/>
  <c r="T90" i="2"/>
  <c r="V90" i="2"/>
  <c r="V61" i="2"/>
  <c r="D155" i="1" l="1"/>
  <c r="D154" i="1"/>
  <c r="D153" i="1"/>
  <c r="D136" i="1"/>
  <c r="D135" i="1"/>
  <c r="D159" i="1"/>
  <c r="D158" i="1"/>
  <c r="D157" i="1"/>
  <c r="W92" i="2"/>
  <c r="J135" i="1"/>
  <c r="AL135" i="1" s="1"/>
  <c r="F70" i="4"/>
  <c r="C70" i="4"/>
  <c r="AL6" i="1"/>
  <c r="AL7" i="1"/>
  <c r="AL16" i="1"/>
  <c r="AL17" i="1"/>
  <c r="AL23" i="1"/>
  <c r="AL24" i="1"/>
  <c r="AL26" i="1"/>
  <c r="AL39" i="1"/>
  <c r="AL27" i="1"/>
  <c r="AL28" i="1"/>
  <c r="AL30" i="1"/>
  <c r="AL32" i="1"/>
  <c r="AL33" i="1"/>
  <c r="AL34" i="1"/>
  <c r="AL35" i="1"/>
  <c r="AL43" i="1"/>
  <c r="AL44" i="1"/>
  <c r="AL45" i="1"/>
  <c r="AL46" i="1"/>
  <c r="AL48" i="1"/>
  <c r="AL53" i="1"/>
  <c r="AL54" i="1"/>
  <c r="AL62" i="1"/>
  <c r="AL66" i="1"/>
  <c r="AL74" i="1"/>
  <c r="AL77" i="1"/>
  <c r="AL78" i="1"/>
  <c r="AL79" i="1"/>
  <c r="AL81" i="1"/>
  <c r="AL82" i="1"/>
  <c r="AL84" i="1"/>
  <c r="C36" i="4" s="1"/>
  <c r="AL92" i="1"/>
  <c r="AL98" i="1"/>
  <c r="AL99" i="1"/>
  <c r="AL100" i="1"/>
  <c r="AL101" i="1"/>
  <c r="AL102" i="1"/>
  <c r="AL105" i="1"/>
  <c r="C47" i="4" s="1"/>
  <c r="AL116" i="1"/>
  <c r="AL122" i="1"/>
  <c r="AL123" i="1"/>
  <c r="AL127" i="1"/>
  <c r="AL129" i="1"/>
  <c r="AL130" i="1"/>
  <c r="C60" i="4" s="1"/>
  <c r="AL139" i="1"/>
  <c r="C63" i="4" s="1"/>
  <c r="AL147" i="1"/>
  <c r="AL148" i="1"/>
  <c r="AE2" i="3"/>
  <c r="D4" i="4" s="1"/>
  <c r="AE3" i="3"/>
  <c r="D5" i="4" s="1"/>
  <c r="AE4" i="3"/>
  <c r="D6" i="4" s="1"/>
  <c r="AE5" i="3"/>
  <c r="D7" i="4" s="1"/>
  <c r="AE6" i="3"/>
  <c r="D8" i="4" s="1"/>
  <c r="AE7" i="3"/>
  <c r="D9" i="4" s="1"/>
  <c r="AE8" i="3"/>
  <c r="D10" i="4" s="1"/>
  <c r="AE9" i="3"/>
  <c r="D11" i="4" s="1"/>
  <c r="AE10" i="3"/>
  <c r="D12" i="4" s="1"/>
  <c r="AE11" i="3"/>
  <c r="AE12" i="3"/>
  <c r="D13" i="4" s="1"/>
  <c r="AE13" i="3"/>
  <c r="D14" i="4" s="1"/>
  <c r="AE14" i="3"/>
  <c r="D15" i="4" s="1"/>
  <c r="AE15" i="3"/>
  <c r="D16" i="4" s="1"/>
  <c r="AE16" i="3"/>
  <c r="D17" i="4" s="1"/>
  <c r="AE17" i="3"/>
  <c r="D18" i="4" s="1"/>
  <c r="AE18" i="3"/>
  <c r="D19" i="4" s="1"/>
  <c r="AE19" i="3"/>
  <c r="D20" i="4" s="1"/>
  <c r="AE20" i="3"/>
  <c r="D21" i="4" s="1"/>
  <c r="AE21" i="3"/>
  <c r="D22" i="4" s="1"/>
  <c r="AE22" i="3"/>
  <c r="D23" i="4" s="1"/>
  <c r="AE23" i="3"/>
  <c r="D24" i="4" s="1"/>
  <c r="AE24" i="3"/>
  <c r="D25" i="4" s="1"/>
  <c r="AE25" i="3"/>
  <c r="D26" i="4" s="1"/>
  <c r="AE26" i="3"/>
  <c r="D27" i="4" s="1"/>
  <c r="AE27" i="3"/>
  <c r="D28" i="4" s="1"/>
  <c r="AE28" i="3"/>
  <c r="D29" i="4" s="1"/>
  <c r="AE29" i="3"/>
  <c r="D30" i="4" s="1"/>
  <c r="AE30" i="3"/>
  <c r="D31" i="4" s="1"/>
  <c r="D32" i="4"/>
  <c r="AE31" i="3"/>
  <c r="D33" i="4" s="1"/>
  <c r="AE32" i="3"/>
  <c r="D34" i="4" s="1"/>
  <c r="AE33" i="3"/>
  <c r="D35" i="4" s="1"/>
  <c r="AE34" i="3"/>
  <c r="D36" i="4" s="1"/>
  <c r="AE35" i="3"/>
  <c r="D37" i="4" s="1"/>
  <c r="AE36" i="3"/>
  <c r="D38" i="4" s="1"/>
  <c r="AE37" i="3"/>
  <c r="D39" i="4" s="1"/>
  <c r="AE38" i="3"/>
  <c r="D40" i="4" s="1"/>
  <c r="D41" i="4"/>
  <c r="AE39" i="3"/>
  <c r="D42" i="4" s="1"/>
  <c r="AE56" i="3"/>
  <c r="D43" i="4" s="1"/>
  <c r="AE40" i="3"/>
  <c r="D44" i="4" s="1"/>
  <c r="AE41" i="3"/>
  <c r="D45" i="4" s="1"/>
  <c r="AE42" i="3"/>
  <c r="D46" i="4" s="1"/>
  <c r="AE43" i="3"/>
  <c r="D47" i="4" s="1"/>
  <c r="D49" i="4"/>
  <c r="AE45" i="3"/>
  <c r="D50" i="4" s="1"/>
  <c r="AE46" i="3"/>
  <c r="D51" i="4" s="1"/>
  <c r="AE47" i="3"/>
  <c r="D52" i="4" s="1"/>
  <c r="D53" i="4"/>
  <c r="AE48" i="3"/>
  <c r="D54" i="4" s="1"/>
  <c r="AE49" i="3"/>
  <c r="D55" i="4" s="1"/>
  <c r="AE50" i="3"/>
  <c r="D56" i="4" s="1"/>
  <c r="AE51" i="3"/>
  <c r="D57" i="4" s="1"/>
  <c r="AE52" i="3"/>
  <c r="D58" i="4" s="1"/>
  <c r="AE53" i="3"/>
  <c r="D59" i="4" s="1"/>
  <c r="AE54" i="3"/>
  <c r="D60" i="4" s="1"/>
  <c r="AE55" i="3"/>
  <c r="D61" i="4" s="1"/>
  <c r="AE57" i="3"/>
  <c r="D62" i="4" s="1"/>
  <c r="AE58" i="3"/>
  <c r="D63" i="4" s="1"/>
  <c r="AE59" i="3"/>
  <c r="D64" i="4" s="1"/>
  <c r="AE60" i="3"/>
  <c r="D65" i="4" s="1"/>
  <c r="D66" i="4"/>
  <c r="AE61" i="3"/>
  <c r="D67" i="4" s="1"/>
  <c r="AE63" i="3"/>
  <c r="D68" i="4" s="1"/>
  <c r="AE64" i="3"/>
  <c r="D69" i="4" s="1"/>
  <c r="W61" i="2" l="1"/>
  <c r="W90" i="2"/>
  <c r="J145" i="1"/>
  <c r="AL145" i="1" s="1"/>
  <c r="C34" i="4"/>
  <c r="E34" i="4" s="1"/>
  <c r="F34" i="4" s="1"/>
  <c r="C16" i="4"/>
  <c r="E16" i="4" s="1"/>
  <c r="F16" i="4" s="1"/>
  <c r="C42" i="4"/>
  <c r="E42" i="4" s="1"/>
  <c r="F42" i="4" s="1"/>
  <c r="J106" i="1"/>
  <c r="AL106" i="1" s="1"/>
  <c r="C22" i="4"/>
  <c r="E22" i="4" s="1"/>
  <c r="F22" i="4" s="1"/>
  <c r="C17" i="4"/>
  <c r="E17" i="4" s="1"/>
  <c r="F17" i="4" s="1"/>
  <c r="C44" i="4"/>
  <c r="E44" i="4" s="1"/>
  <c r="F44" i="4" s="1"/>
  <c r="C13" i="4"/>
  <c r="E13" i="4" s="1"/>
  <c r="F13" i="4" s="1"/>
  <c r="E36" i="4"/>
  <c r="F36" i="4" s="1"/>
  <c r="E60" i="4"/>
  <c r="F60" i="4" s="1"/>
  <c r="E63" i="4"/>
  <c r="F63" i="4" s="1"/>
  <c r="E47" i="4"/>
  <c r="F47" i="4" s="1"/>
  <c r="D11" i="3" l="1"/>
  <c r="E11" i="3"/>
  <c r="F11" i="3"/>
  <c r="V11" i="2"/>
  <c r="G44" i="3"/>
  <c r="AE44" i="3" s="1"/>
  <c r="D48" i="4" s="1"/>
  <c r="F2" i="3"/>
  <c r="F3" i="3"/>
  <c r="F4" i="3"/>
  <c r="F5" i="3"/>
  <c r="F6" i="3"/>
  <c r="F7" i="3"/>
  <c r="F8" i="3"/>
  <c r="F9" i="3"/>
  <c r="F10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56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7" i="3"/>
  <c r="F58" i="3"/>
  <c r="F59" i="3"/>
  <c r="F60" i="3"/>
  <c r="F61" i="3"/>
  <c r="F63" i="3"/>
  <c r="F64" i="3"/>
  <c r="E2" i="3"/>
  <c r="E3" i="3"/>
  <c r="E4" i="3"/>
  <c r="E5" i="3"/>
  <c r="E6" i="3"/>
  <c r="E7" i="3"/>
  <c r="E8" i="3"/>
  <c r="E9" i="3"/>
  <c r="E10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56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7" i="3"/>
  <c r="E58" i="3"/>
  <c r="E59" i="3"/>
  <c r="E60" i="3"/>
  <c r="E61" i="3"/>
  <c r="E63" i="3"/>
  <c r="E64" i="3"/>
  <c r="D64" i="3"/>
  <c r="D63" i="3"/>
  <c r="D61" i="3"/>
  <c r="D60" i="3"/>
  <c r="D59" i="3"/>
  <c r="D58" i="3"/>
  <c r="D57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56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0" i="3"/>
  <c r="D9" i="3"/>
  <c r="D8" i="3"/>
  <c r="D7" i="3"/>
  <c r="D6" i="3"/>
  <c r="D5" i="3"/>
  <c r="D4" i="3"/>
  <c r="D3" i="3"/>
  <c r="D2" i="3"/>
  <c r="T64" i="2"/>
  <c r="T65" i="2"/>
  <c r="T66" i="2"/>
  <c r="T67" i="2"/>
  <c r="T68" i="2"/>
  <c r="T69" i="2"/>
  <c r="T70" i="2"/>
  <c r="T71" i="2"/>
  <c r="T72" i="2"/>
  <c r="T73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63" i="2"/>
  <c r="J3" i="1" l="1"/>
  <c r="AL3" i="1" s="1"/>
  <c r="C4" i="4" s="1"/>
  <c r="E4" i="4" s="1"/>
  <c r="F4" i="4" s="1"/>
  <c r="J4" i="1"/>
  <c r="AL4" i="1" s="1"/>
  <c r="C5" i="4" s="1"/>
  <c r="E5" i="4" s="1"/>
  <c r="F5" i="4" s="1"/>
  <c r="J6" i="1"/>
  <c r="J7" i="1"/>
  <c r="J8" i="1"/>
  <c r="AL8" i="1" s="1"/>
  <c r="J13" i="1"/>
  <c r="AL13" i="1" s="1"/>
  <c r="C8" i="4" s="1"/>
  <c r="E8" i="4" s="1"/>
  <c r="F8" i="4" s="1"/>
  <c r="J14" i="1"/>
  <c r="AL14" i="1" s="1"/>
  <c r="C9" i="4" s="1"/>
  <c r="E9" i="4" s="1"/>
  <c r="F9" i="4" s="1"/>
  <c r="J16" i="1"/>
  <c r="J17" i="1"/>
  <c r="J18" i="1"/>
  <c r="AL18" i="1" s="1"/>
  <c r="C10" i="4" s="1"/>
  <c r="E10" i="4" s="1"/>
  <c r="F10" i="4" s="1"/>
  <c r="J20" i="1"/>
  <c r="AL20" i="1" s="1"/>
  <c r="C11" i="4" s="1"/>
  <c r="E11" i="4" s="1"/>
  <c r="F11" i="4" s="1"/>
  <c r="J22" i="1"/>
  <c r="AL22" i="1" s="1"/>
  <c r="C12" i="4" s="1"/>
  <c r="E12" i="4" s="1"/>
  <c r="F12" i="4" s="1"/>
  <c r="J23" i="1"/>
  <c r="J24" i="1"/>
  <c r="J26" i="1"/>
  <c r="J39" i="1"/>
  <c r="J40" i="1"/>
  <c r="AL40" i="1" s="1"/>
  <c r="J27" i="1"/>
  <c r="J28" i="1"/>
  <c r="J30" i="1"/>
  <c r="J32" i="1"/>
  <c r="J33" i="1"/>
  <c r="J34" i="1"/>
  <c r="J35" i="1"/>
  <c r="J37" i="1"/>
  <c r="AL37" i="1" s="1"/>
  <c r="C19" i="4" s="1"/>
  <c r="E19" i="4" s="1"/>
  <c r="F19" i="4" s="1"/>
  <c r="J43" i="1"/>
  <c r="J44" i="1"/>
  <c r="J45" i="1"/>
  <c r="J46" i="1"/>
  <c r="J47" i="1"/>
  <c r="AL47" i="1" s="1"/>
  <c r="J48" i="1"/>
  <c r="J49" i="1"/>
  <c r="AL49" i="1" s="1"/>
  <c r="J53" i="1"/>
  <c r="J54" i="1"/>
  <c r="J55" i="1"/>
  <c r="AL55" i="1" s="1"/>
  <c r="C23" i="4" s="1"/>
  <c r="E23" i="4" s="1"/>
  <c r="F23" i="4" s="1"/>
  <c r="J56" i="1"/>
  <c r="AL56" i="1" s="1"/>
  <c r="C24" i="4" s="1"/>
  <c r="E24" i="4" s="1"/>
  <c r="F24" i="4" s="1"/>
  <c r="J58" i="1"/>
  <c r="AL58" i="1" s="1"/>
  <c r="J59" i="1"/>
  <c r="AL59" i="1" s="1"/>
  <c r="J61" i="1"/>
  <c r="AL61" i="1" s="1"/>
  <c r="J62" i="1"/>
  <c r="J63" i="1"/>
  <c r="AL63" i="1" s="1"/>
  <c r="J65" i="1"/>
  <c r="AL65" i="1" s="1"/>
  <c r="J66" i="1"/>
  <c r="J67" i="1"/>
  <c r="AL67" i="1" s="1"/>
  <c r="J70" i="1"/>
  <c r="AL70" i="1" s="1"/>
  <c r="J74" i="1"/>
  <c r="J75" i="1"/>
  <c r="AL75" i="1" s="1"/>
  <c r="C31" i="4" s="1"/>
  <c r="E31" i="4" s="1"/>
  <c r="F31" i="4" s="1"/>
  <c r="J76" i="1"/>
  <c r="AL76" i="1" s="1"/>
  <c r="C33" i="4" s="1"/>
  <c r="E33" i="4" s="1"/>
  <c r="F33" i="4" s="1"/>
  <c r="J77" i="1"/>
  <c r="J78" i="1"/>
  <c r="J79" i="1"/>
  <c r="J81" i="1"/>
  <c r="J82" i="1"/>
  <c r="J83" i="1"/>
  <c r="AL83" i="1" s="1"/>
  <c r="C35" i="4" s="1"/>
  <c r="E35" i="4" s="1"/>
  <c r="F35" i="4" s="1"/>
  <c r="J84" i="1"/>
  <c r="J86" i="1"/>
  <c r="AL86" i="1" s="1"/>
  <c r="J87" i="1"/>
  <c r="AL87" i="1" s="1"/>
  <c r="J88" i="1"/>
  <c r="AL88" i="1" s="1"/>
  <c r="J89" i="1"/>
  <c r="AL89" i="1" s="1"/>
  <c r="J90" i="1"/>
  <c r="AL90" i="1" s="1"/>
  <c r="C38" i="4" s="1"/>
  <c r="E38" i="4" s="1"/>
  <c r="F38" i="4" s="1"/>
  <c r="J92" i="1"/>
  <c r="J94" i="1"/>
  <c r="AL94" i="1" s="1"/>
  <c r="C39" i="4" s="1"/>
  <c r="E39" i="4" s="1"/>
  <c r="F39" i="4" s="1"/>
  <c r="J95" i="1"/>
  <c r="AL95" i="1" s="1"/>
  <c r="C40" i="4" s="1"/>
  <c r="E40" i="4" s="1"/>
  <c r="F40" i="4" s="1"/>
  <c r="C41" i="4"/>
  <c r="E41" i="4" s="1"/>
  <c r="F41" i="4" s="1"/>
  <c r="J98" i="1"/>
  <c r="J99" i="1"/>
  <c r="J100" i="1"/>
  <c r="J101" i="1"/>
  <c r="J102" i="1"/>
  <c r="J103" i="1"/>
  <c r="AL103" i="1" s="1"/>
  <c r="C45" i="4" s="1"/>
  <c r="E45" i="4" s="1"/>
  <c r="F45" i="4" s="1"/>
  <c r="J104" i="1"/>
  <c r="AL104" i="1" s="1"/>
  <c r="C46" i="4" s="1"/>
  <c r="E46" i="4" s="1"/>
  <c r="F46" i="4" s="1"/>
  <c r="J105" i="1"/>
  <c r="J107" i="1"/>
  <c r="AL107" i="1" s="1"/>
  <c r="J108" i="1"/>
  <c r="AL108" i="1" s="1"/>
  <c r="J109" i="1"/>
  <c r="AL109" i="1" s="1"/>
  <c r="J112" i="1"/>
  <c r="AL112" i="1" s="1"/>
  <c r="J114" i="1"/>
  <c r="AL114" i="1" s="1"/>
  <c r="J115" i="1"/>
  <c r="AL115" i="1" s="1"/>
  <c r="J116" i="1"/>
  <c r="C52" i="4"/>
  <c r="E52" i="4" s="1"/>
  <c r="F52" i="4" s="1"/>
  <c r="C53" i="4"/>
  <c r="E53" i="4" s="1"/>
  <c r="F53" i="4" s="1"/>
  <c r="J117" i="1"/>
  <c r="AL117" i="1" s="1"/>
  <c r="C54" i="4" s="1"/>
  <c r="E54" i="4" s="1"/>
  <c r="F54" i="4" s="1"/>
  <c r="J121" i="1"/>
  <c r="AL121" i="1" s="1"/>
  <c r="J122" i="1"/>
  <c r="J123" i="1"/>
  <c r="J124" i="1"/>
  <c r="AL124" i="1" s="1"/>
  <c r="C56" i="4" s="1"/>
  <c r="E56" i="4" s="1"/>
  <c r="F56" i="4" s="1"/>
  <c r="J125" i="1"/>
  <c r="AL125" i="1" s="1"/>
  <c r="C57" i="4" s="1"/>
  <c r="E57" i="4" s="1"/>
  <c r="F57" i="4" s="1"/>
  <c r="J126" i="1"/>
  <c r="AL126" i="1" s="1"/>
  <c r="C58" i="4" s="1"/>
  <c r="E58" i="4" s="1"/>
  <c r="F58" i="4" s="1"/>
  <c r="J127" i="1"/>
  <c r="J128" i="1"/>
  <c r="AL128" i="1" s="1"/>
  <c r="C59" i="4" s="1"/>
  <c r="E59" i="4" s="1"/>
  <c r="F59" i="4" s="1"/>
  <c r="J129" i="1"/>
  <c r="J130" i="1"/>
  <c r="J132" i="1"/>
  <c r="AL132" i="1" s="1"/>
  <c r="J134" i="1"/>
  <c r="AL134" i="1" s="1"/>
  <c r="J137" i="1"/>
  <c r="AL137" i="1" s="1"/>
  <c r="C62" i="4" s="1"/>
  <c r="E62" i="4" s="1"/>
  <c r="F62" i="4" s="1"/>
  <c r="J139" i="1"/>
  <c r="J140" i="1"/>
  <c r="AL140" i="1" s="1"/>
  <c r="C64" i="4" s="1"/>
  <c r="E64" i="4" s="1"/>
  <c r="F64" i="4" s="1"/>
  <c r="J142" i="1"/>
  <c r="AL142" i="1" s="1"/>
  <c r="C65" i="4" s="1"/>
  <c r="E65" i="4" s="1"/>
  <c r="F65" i="4" s="1"/>
  <c r="J146" i="1"/>
  <c r="AL146" i="1" s="1"/>
  <c r="C67" i="4" s="1"/>
  <c r="E67" i="4" s="1"/>
  <c r="F67" i="4" s="1"/>
  <c r="J147" i="1"/>
  <c r="J148" i="1"/>
  <c r="V95" i="2"/>
  <c r="V63" i="2"/>
  <c r="V64" i="2"/>
  <c r="V65" i="2"/>
  <c r="V66" i="2"/>
  <c r="V67" i="2"/>
  <c r="V68" i="2"/>
  <c r="V69" i="2"/>
  <c r="V70" i="2"/>
  <c r="V71" i="2"/>
  <c r="V72" i="2"/>
  <c r="V73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D169" i="1" l="1"/>
  <c r="D167" i="1"/>
  <c r="D168" i="1"/>
  <c r="D166" i="1"/>
  <c r="C37" i="4"/>
  <c r="E37" i="4" s="1"/>
  <c r="F37" i="4" s="1"/>
  <c r="W95" i="2"/>
  <c r="J11" i="1"/>
  <c r="AL11" i="1" s="1"/>
  <c r="C6" i="4"/>
  <c r="E6" i="4" s="1"/>
  <c r="F6" i="4" s="1"/>
  <c r="C48" i="4"/>
  <c r="E48" i="4" s="1"/>
  <c r="F48" i="4" s="1"/>
  <c r="C43" i="4"/>
  <c r="E43" i="4" s="1"/>
  <c r="F43" i="4" s="1"/>
  <c r="C69" i="4"/>
  <c r="E69" i="4" s="1"/>
  <c r="F69" i="4" s="1"/>
  <c r="C68" i="4"/>
  <c r="E68" i="4" s="1"/>
  <c r="F68" i="4" s="1"/>
  <c r="C50" i="4"/>
  <c r="E50" i="4" s="1"/>
  <c r="F50" i="4" s="1"/>
  <c r="C51" i="4"/>
  <c r="E51" i="4" s="1"/>
  <c r="F51" i="4" s="1"/>
  <c r="C61" i="4"/>
  <c r="E61" i="4" s="1"/>
  <c r="F61" i="4" s="1"/>
  <c r="C49" i="4"/>
  <c r="E49" i="4" s="1"/>
  <c r="F49" i="4" s="1"/>
  <c r="C32" i="4"/>
  <c r="E32" i="4" s="1"/>
  <c r="F32" i="4" s="1"/>
  <c r="C25" i="4"/>
  <c r="E25" i="4" s="1"/>
  <c r="F25" i="4" s="1"/>
  <c r="C21" i="4"/>
  <c r="E21" i="4" s="1"/>
  <c r="F21" i="4" s="1"/>
  <c r="AL42" i="1"/>
  <c r="C20" i="4" s="1"/>
  <c r="E20" i="4" s="1"/>
  <c r="F20" i="4" s="1"/>
  <c r="AL10" i="1"/>
  <c r="J10" i="1"/>
  <c r="C66" i="4"/>
  <c r="E66" i="4" s="1"/>
  <c r="F66" i="4" s="1"/>
  <c r="J31" i="1"/>
  <c r="AL31" i="1" s="1"/>
  <c r="C18" i="4" s="1"/>
  <c r="E18" i="4" s="1"/>
  <c r="F18" i="4" s="1"/>
  <c r="J42" i="1"/>
  <c r="J25" i="1"/>
  <c r="AL25" i="1" s="1"/>
  <c r="C14" i="4" s="1"/>
  <c r="E14" i="4" s="1"/>
  <c r="F14" i="4" s="1"/>
  <c r="V2" i="2"/>
  <c r="V3" i="2"/>
  <c r="V4" i="2"/>
  <c r="V5" i="2"/>
  <c r="V6" i="2"/>
  <c r="D13" i="1" s="1"/>
  <c r="V7" i="2"/>
  <c r="V8" i="2"/>
  <c r="V9" i="2"/>
  <c r="D20" i="1" s="1"/>
  <c r="V10" i="2"/>
  <c r="V12" i="2"/>
  <c r="V13" i="2"/>
  <c r="V14" i="2"/>
  <c r="V15" i="2"/>
  <c r="V16" i="2"/>
  <c r="D30" i="1" s="1"/>
  <c r="V17" i="2"/>
  <c r="V18" i="2"/>
  <c r="V19" i="2"/>
  <c r="V20" i="2"/>
  <c r="V21" i="2"/>
  <c r="V22" i="2"/>
  <c r="D55" i="1" s="1"/>
  <c r="V23" i="2"/>
  <c r="V24" i="2"/>
  <c r="V25" i="2"/>
  <c r="V26" i="2"/>
  <c r="V27" i="2"/>
  <c r="V28" i="2"/>
  <c r="D71" i="1" s="1"/>
  <c r="V29" i="2"/>
  <c r="V30" i="2"/>
  <c r="D75" i="1" s="1"/>
  <c r="V31" i="2"/>
  <c r="V32" i="2"/>
  <c r="V33" i="2"/>
  <c r="V34" i="2"/>
  <c r="V35" i="2"/>
  <c r="V36" i="2"/>
  <c r="V37" i="2"/>
  <c r="V38" i="2"/>
  <c r="D95" i="1" s="1"/>
  <c r="V40" i="2"/>
  <c r="V41" i="2"/>
  <c r="V42" i="2"/>
  <c r="D103" i="1" s="1"/>
  <c r="V43" i="2"/>
  <c r="D104" i="1" s="1"/>
  <c r="V44" i="2"/>
  <c r="D105" i="1" s="1"/>
  <c r="V45" i="2"/>
  <c r="V46" i="2"/>
  <c r="V47" i="2"/>
  <c r="V48" i="2"/>
  <c r="D116" i="1" s="1"/>
  <c r="V49" i="2"/>
  <c r="V50" i="2"/>
  <c r="V51" i="2"/>
  <c r="V52" i="2"/>
  <c r="D125" i="1" s="1"/>
  <c r="V53" i="2"/>
  <c r="D126" i="1" s="1"/>
  <c r="V54" i="2"/>
  <c r="V55" i="2"/>
  <c r="V56" i="2"/>
  <c r="V57" i="2"/>
  <c r="V58" i="2"/>
  <c r="D139" i="1" s="1"/>
  <c r="V59" i="2"/>
  <c r="V60" i="2"/>
  <c r="V62" i="2"/>
  <c r="W9" i="2"/>
  <c r="W10" i="2"/>
  <c r="W22" i="2"/>
  <c r="W36" i="2"/>
  <c r="W38" i="2"/>
  <c r="W43" i="2"/>
  <c r="W44" i="2"/>
  <c r="D130" i="1" l="1"/>
  <c r="D131" i="1"/>
  <c r="D41" i="1"/>
  <c r="D40" i="1"/>
  <c r="D39" i="1"/>
  <c r="D38" i="1"/>
  <c r="D132" i="1"/>
  <c r="D134" i="1"/>
  <c r="D133" i="1"/>
  <c r="D127" i="1"/>
  <c r="D129" i="1"/>
  <c r="D128" i="1"/>
  <c r="D113" i="1"/>
  <c r="D112" i="1"/>
  <c r="D92" i="1"/>
  <c r="D94" i="1"/>
  <c r="D93" i="1"/>
  <c r="D72" i="1"/>
  <c r="D74" i="1"/>
  <c r="D73" i="1"/>
  <c r="D54" i="1"/>
  <c r="D53" i="1"/>
  <c r="D26" i="1"/>
  <c r="D25" i="1"/>
  <c r="D8" i="1"/>
  <c r="D7" i="1"/>
  <c r="D10" i="1"/>
  <c r="D9" i="1"/>
  <c r="D11" i="1"/>
  <c r="D111" i="1"/>
  <c r="D110" i="1"/>
  <c r="D108" i="1"/>
  <c r="D107" i="1"/>
  <c r="D106" i="1"/>
  <c r="D109" i="1"/>
  <c r="D91" i="1"/>
  <c r="D90" i="1"/>
  <c r="D49" i="1"/>
  <c r="D48" i="1"/>
  <c r="D24" i="1"/>
  <c r="D23" i="1"/>
  <c r="D6" i="1"/>
  <c r="D4" i="1"/>
  <c r="D138" i="1"/>
  <c r="D137" i="1"/>
  <c r="D118" i="1"/>
  <c r="D117" i="1"/>
  <c r="D102" i="1"/>
  <c r="D101" i="1"/>
  <c r="D100" i="1"/>
  <c r="D79" i="1"/>
  <c r="D81" i="1"/>
  <c r="D80" i="1"/>
  <c r="D59" i="1"/>
  <c r="D58" i="1"/>
  <c r="D16" i="1"/>
  <c r="D14" i="1"/>
  <c r="D152" i="1"/>
  <c r="D151" i="1"/>
  <c r="D147" i="1"/>
  <c r="D148" i="1"/>
  <c r="D150" i="1"/>
  <c r="D146" i="1"/>
  <c r="D149" i="1"/>
  <c r="D145" i="1"/>
  <c r="D143" i="1"/>
  <c r="D142" i="1"/>
  <c r="D144" i="1"/>
  <c r="D89" i="1"/>
  <c r="D87" i="1"/>
  <c r="D88" i="1"/>
  <c r="D86" i="1"/>
  <c r="D68" i="1"/>
  <c r="D70" i="1"/>
  <c r="D69" i="1"/>
  <c r="D45" i="1"/>
  <c r="D44" i="1"/>
  <c r="D47" i="1"/>
  <c r="D43" i="1"/>
  <c r="D46" i="1"/>
  <c r="D42" i="1"/>
  <c r="D3" i="1"/>
  <c r="D2" i="1"/>
  <c r="D140" i="1"/>
  <c r="D141" i="1"/>
  <c r="D123" i="1"/>
  <c r="D124" i="1"/>
  <c r="D66" i="1"/>
  <c r="D67" i="1"/>
  <c r="D65" i="1"/>
  <c r="D64" i="1"/>
  <c r="D37" i="1"/>
  <c r="D35" i="1"/>
  <c r="D99" i="1"/>
  <c r="D98" i="1"/>
  <c r="D78" i="1"/>
  <c r="D76" i="1"/>
  <c r="D77" i="1"/>
  <c r="D56" i="1"/>
  <c r="D57" i="1"/>
  <c r="D122" i="1"/>
  <c r="D119" i="1"/>
  <c r="D120" i="1"/>
  <c r="D121" i="1"/>
  <c r="D83" i="1"/>
  <c r="D82" i="1"/>
  <c r="D63" i="1"/>
  <c r="D62" i="1"/>
  <c r="D60" i="1"/>
  <c r="D61" i="1"/>
  <c r="D32" i="1"/>
  <c r="D31" i="1"/>
  <c r="D34" i="1"/>
  <c r="D33" i="1"/>
  <c r="D18" i="1"/>
  <c r="D17" i="1"/>
  <c r="D115" i="1"/>
  <c r="D114" i="1"/>
  <c r="D21" i="1"/>
  <c r="D22" i="1"/>
  <c r="D84" i="1"/>
  <c r="D85" i="1"/>
  <c r="D28" i="1"/>
  <c r="D27" i="1"/>
  <c r="W19" i="2"/>
  <c r="W16" i="2"/>
  <c r="W12" i="2"/>
  <c r="W5" i="2"/>
  <c r="W18" i="2"/>
  <c r="W45" i="2"/>
  <c r="W15" i="2"/>
  <c r="W21" i="2"/>
  <c r="W2" i="2"/>
  <c r="W87" i="2"/>
  <c r="W58" i="2"/>
  <c r="W82" i="2"/>
  <c r="W53" i="2"/>
  <c r="W71" i="2"/>
  <c r="W40" i="2"/>
  <c r="W70" i="2"/>
  <c r="W35" i="2"/>
  <c r="W66" i="2"/>
  <c r="W31" i="2"/>
  <c r="W8" i="2"/>
  <c r="W85" i="2"/>
  <c r="W56" i="2"/>
  <c r="W80" i="2"/>
  <c r="W51" i="2"/>
  <c r="W47" i="2"/>
  <c r="W76" i="2"/>
  <c r="W42" i="2"/>
  <c r="W73" i="2"/>
  <c r="W37" i="2"/>
  <c r="W33" i="2"/>
  <c r="W68" i="2"/>
  <c r="W20" i="2"/>
  <c r="W4" i="2"/>
  <c r="W84" i="2"/>
  <c r="W55" i="2"/>
  <c r="W24" i="2"/>
  <c r="W17" i="2"/>
  <c r="W13" i="2"/>
  <c r="W7" i="2"/>
  <c r="W62" i="2"/>
  <c r="W46" i="2"/>
  <c r="W75" i="2"/>
  <c r="W32" i="2"/>
  <c r="W67" i="2"/>
  <c r="W3" i="2"/>
  <c r="W30" i="2"/>
  <c r="W65" i="2"/>
  <c r="W60" i="2"/>
  <c r="W89" i="2"/>
  <c r="W72" i="2"/>
  <c r="W41" i="2"/>
  <c r="W6" i="2"/>
  <c r="W86" i="2"/>
  <c r="W57" i="2"/>
  <c r="W81" i="2"/>
  <c r="W52" i="2"/>
  <c r="W77" i="2"/>
  <c r="W48" i="2"/>
  <c r="W34" i="2"/>
  <c r="W69" i="2"/>
  <c r="W88" i="2"/>
  <c r="W59" i="2"/>
  <c r="W54" i="2"/>
  <c r="W83" i="2"/>
  <c r="W49" i="2"/>
  <c r="W78" i="2"/>
  <c r="C7" i="4"/>
  <c r="E7" i="4" s="1"/>
  <c r="F7" i="4" s="1"/>
  <c r="AL38" i="1" l="1"/>
  <c r="C15" i="4" s="1"/>
  <c r="E15" i="4" s="1"/>
  <c r="F15" i="4" s="1"/>
  <c r="AL68" i="1"/>
  <c r="C28" i="4" s="1"/>
  <c r="E28" i="4" s="1"/>
  <c r="F28" i="4" s="1"/>
  <c r="J119" i="1"/>
  <c r="AL119" i="1"/>
  <c r="C55" i="4" s="1"/>
  <c r="E55" i="4" s="1"/>
  <c r="F55" i="4" s="1"/>
  <c r="J64" i="1"/>
  <c r="AL64" i="1"/>
  <c r="C27" i="4" s="1"/>
  <c r="E27" i="4" s="1"/>
  <c r="F27" i="4" s="1"/>
  <c r="J60" i="1"/>
  <c r="AL60" i="1"/>
  <c r="C26" i="4" s="1"/>
  <c r="E26" i="4" s="1"/>
  <c r="F26" i="4" s="1"/>
  <c r="AL72" i="1"/>
  <c r="C30" i="4" s="1"/>
  <c r="E30" i="4" s="1"/>
  <c r="F30" i="4" s="1"/>
  <c r="J38" i="1"/>
  <c r="J68" i="1"/>
  <c r="J72" i="1"/>
  <c r="W14" i="2"/>
  <c r="W25" i="2"/>
  <c r="W27" i="2"/>
  <c r="W26" i="2"/>
  <c r="W23" i="2"/>
  <c r="W79" i="2" l="1"/>
  <c r="W50" i="2"/>
  <c r="W29" i="2"/>
  <c r="W64" i="2"/>
  <c r="C29" i="4"/>
  <c r="E29" i="4" s="1"/>
  <c r="F29" i="4" s="1"/>
  <c r="J71" i="1"/>
  <c r="AL71" i="1" s="1"/>
  <c r="W28" i="2" l="1"/>
  <c r="W63" i="2"/>
</calcChain>
</file>

<file path=xl/sharedStrings.xml><?xml version="1.0" encoding="utf-8"?>
<sst xmlns="http://schemas.openxmlformats.org/spreadsheetml/2006/main" count="2876" uniqueCount="388">
  <si>
    <t>Module Code</t>
  </si>
  <si>
    <t>PX3141</t>
  </si>
  <si>
    <t>Atomic and Nuclear Physics</t>
  </si>
  <si>
    <t>CA type</t>
  </si>
  <si>
    <t>CT</t>
  </si>
  <si>
    <t>CW</t>
  </si>
  <si>
    <t>Module Title</t>
  </si>
  <si>
    <t>PX3142</t>
  </si>
  <si>
    <t>PX3143</t>
  </si>
  <si>
    <t>Computational Physics</t>
  </si>
  <si>
    <t>PX3145</t>
  </si>
  <si>
    <t>Formation and Evolution of Stars</t>
  </si>
  <si>
    <t>PX3150</t>
  </si>
  <si>
    <t>Environmental Physics</t>
  </si>
  <si>
    <t>PX3153</t>
  </si>
  <si>
    <t>PX3155</t>
  </si>
  <si>
    <t>PX3156</t>
  </si>
  <si>
    <t>Galaxies and Galaxy Evolution</t>
  </si>
  <si>
    <t>PX3158</t>
  </si>
  <si>
    <t>Theoretical Physics</t>
  </si>
  <si>
    <t>Science Communication</t>
  </si>
  <si>
    <t>PX3164</t>
  </si>
  <si>
    <t>Radiation Protection and Diagnostic Radiology Physics</t>
  </si>
  <si>
    <t>Physics Project</t>
  </si>
  <si>
    <t>PX3160</t>
  </si>
  <si>
    <t>Autumn Week 1</t>
  </si>
  <si>
    <t>Autumn Week 2</t>
  </si>
  <si>
    <t>Autumn Week 3</t>
  </si>
  <si>
    <t>Autumn Week 4</t>
  </si>
  <si>
    <t>Autumn Week 5</t>
  </si>
  <si>
    <t>Autumn Week 6</t>
  </si>
  <si>
    <t>Autumn Week 7</t>
  </si>
  <si>
    <t>Autumn Week 8</t>
  </si>
  <si>
    <t>Autumn Week 9</t>
  </si>
  <si>
    <t>Autumn Week 10</t>
  </si>
  <si>
    <t>Autumn Week 11</t>
  </si>
  <si>
    <t>Autumn Week 12</t>
  </si>
  <si>
    <t>PX2131</t>
  </si>
  <si>
    <t>The Physics of Fields and Flows </t>
  </si>
  <si>
    <t>PX2134</t>
  </si>
  <si>
    <t>PX2140</t>
  </si>
  <si>
    <t>The Stars and their Planets</t>
  </si>
  <si>
    <t>Pathways to success</t>
  </si>
  <si>
    <t>Biophysics</t>
  </si>
  <si>
    <t>PX2141</t>
  </si>
  <si>
    <t>PX2144</t>
  </si>
  <si>
    <t>PX2132</t>
  </si>
  <si>
    <t>PX3350</t>
  </si>
  <si>
    <t>Intermediate Practical Physics I</t>
  </si>
  <si>
    <t>PX2133</t>
  </si>
  <si>
    <t>Intermediate Practical Physics </t>
  </si>
  <si>
    <t>PX2150</t>
  </si>
  <si>
    <t>Observational Techniques in Astronomy </t>
  </si>
  <si>
    <t>PX2155</t>
  </si>
  <si>
    <t>Mathematical Methods for Physicists I</t>
  </si>
  <si>
    <t>PX1120</t>
  </si>
  <si>
    <t>PX1121</t>
  </si>
  <si>
    <t>PX1127</t>
  </si>
  <si>
    <t>Experimental Physics </t>
  </si>
  <si>
    <t>PX1150</t>
  </si>
  <si>
    <t>PX4119</t>
  </si>
  <si>
    <t>PX4124</t>
  </si>
  <si>
    <t>Introduction to General Relativity</t>
  </si>
  <si>
    <t>PX4131</t>
  </si>
  <si>
    <t>Compound Semiconductor Fabrication</t>
  </si>
  <si>
    <t>PX4133</t>
  </si>
  <si>
    <t>PX4134</t>
  </si>
  <si>
    <t>Quantum Theory of Many-Particle Systems</t>
  </si>
  <si>
    <t>PX4241</t>
  </si>
  <si>
    <t>PX4146</t>
  </si>
  <si>
    <t>Data Science</t>
  </si>
  <si>
    <t>PX4195</t>
  </si>
  <si>
    <t>Gravitational-wave Detectors</t>
  </si>
  <si>
    <t>PX4125</t>
  </si>
  <si>
    <t>PX4310</t>
  </si>
  <si>
    <t>Duration</t>
  </si>
  <si>
    <t>Electricity, Magnetism and Waves</t>
  </si>
  <si>
    <t>Computational Skills for Problem Solving</t>
  </si>
  <si>
    <t>Introduction to Medical Physics</t>
  </si>
  <si>
    <t>Introduction to Astrophysics</t>
  </si>
  <si>
    <t>Mathematical Methods for Physicists II</t>
  </si>
  <si>
    <t>PX1221</t>
  </si>
  <si>
    <t>PX1240</t>
  </si>
  <si>
    <t>PX1228</t>
  </si>
  <si>
    <t>PX1230</t>
  </si>
  <si>
    <t>Thermal and Statistical Physics </t>
  </si>
  <si>
    <t>Optics</t>
  </si>
  <si>
    <t>Astrophysics in Action: Real-world problem solving</t>
  </si>
  <si>
    <t>Introduction to Condensed Matter Physics</t>
  </si>
  <si>
    <t>PX2240</t>
  </si>
  <si>
    <t>Nuclear Medicine</t>
  </si>
  <si>
    <t>PX2241</t>
  </si>
  <si>
    <t>Physics in Action: Real-world problem solving</t>
  </si>
  <si>
    <t>PX2231</t>
  </si>
  <si>
    <t>PX2232</t>
  </si>
  <si>
    <t>PX2242</t>
  </si>
  <si>
    <t>Particle Physics and Special Relativity</t>
  </si>
  <si>
    <t>Semiconductor Devices and Applications</t>
  </si>
  <si>
    <t>High-Energy Astrophysics</t>
  </si>
  <si>
    <t>Commercialising Innovation</t>
  </si>
  <si>
    <t>PX3254</t>
  </si>
  <si>
    <t>Cosmology</t>
  </si>
  <si>
    <t>PX3255</t>
  </si>
  <si>
    <t>Non-Ionising Radiation in Medicine</t>
  </si>
  <si>
    <t>PX3256</t>
  </si>
  <si>
    <t>Radiotherapy</t>
  </si>
  <si>
    <t>PX3241</t>
  </si>
  <si>
    <t>PX3249</t>
  </si>
  <si>
    <t>PX3243</t>
  </si>
  <si>
    <t>PX3253</t>
  </si>
  <si>
    <t>Low dimensional semiconductor devices</t>
  </si>
  <si>
    <t>Advanced GR and Gravitational Waves</t>
  </si>
  <si>
    <t>Physics and Reality</t>
  </si>
  <si>
    <t>Energy and Gas in Interstellar Space</t>
  </si>
  <si>
    <t>PX4237</t>
  </si>
  <si>
    <t>Observational Gravitational Wave Astronomy</t>
  </si>
  <si>
    <t>PX4240</t>
  </si>
  <si>
    <t>Advanced Particle Physics</t>
  </si>
  <si>
    <t>Exoplanets and the Search for Life</t>
  </si>
  <si>
    <t>Numerical Relativity and Waveform Modelling</t>
  </si>
  <si>
    <t>PX4296</t>
  </si>
  <si>
    <t>PR</t>
  </si>
  <si>
    <t>PO</t>
  </si>
  <si>
    <t>PJ</t>
  </si>
  <si>
    <t>LB</t>
  </si>
  <si>
    <t>QU</t>
  </si>
  <si>
    <t>PXT112</t>
  </si>
  <si>
    <t>PXT211</t>
  </si>
  <si>
    <t>PXT116</t>
  </si>
  <si>
    <t>PXT155</t>
  </si>
  <si>
    <t>PXT156</t>
  </si>
  <si>
    <t>PXT158</t>
  </si>
  <si>
    <t>PXT137</t>
  </si>
  <si>
    <t>PXT221</t>
  </si>
  <si>
    <t>PXT301</t>
  </si>
  <si>
    <t>PXT234</t>
  </si>
  <si>
    <t>PXT146</t>
  </si>
  <si>
    <t>PXT905</t>
  </si>
  <si>
    <t>Physics</t>
  </si>
  <si>
    <t>Astro</t>
  </si>
  <si>
    <t>Credits</t>
  </si>
  <si>
    <t>Level</t>
  </si>
  <si>
    <t>MedPhys</t>
  </si>
  <si>
    <t>C</t>
  </si>
  <si>
    <t>O</t>
  </si>
  <si>
    <t>Introduction to Magnetic Resonance Imaging</t>
  </si>
  <si>
    <t>Semester</t>
  </si>
  <si>
    <t>SEM1</t>
  </si>
  <si>
    <t>SEM2</t>
  </si>
  <si>
    <t>SEMD</t>
  </si>
  <si>
    <t>PXT214</t>
  </si>
  <si>
    <t>PXT113</t>
  </si>
  <si>
    <t>PXT215</t>
  </si>
  <si>
    <t>PXT224</t>
  </si>
  <si>
    <t>PXT126</t>
  </si>
  <si>
    <t>PXT128</t>
  </si>
  <si>
    <t>PXT228</t>
  </si>
  <si>
    <t>PXT907</t>
  </si>
  <si>
    <t>PXT142</t>
  </si>
  <si>
    <t>Advanced Semiconductor Device Photonics</t>
  </si>
  <si>
    <t>PXT311</t>
  </si>
  <si>
    <t>PXT145</t>
  </si>
  <si>
    <t>PXT904</t>
  </si>
  <si>
    <t>Spring Week 1</t>
  </si>
  <si>
    <t>Spring Week 2</t>
  </si>
  <si>
    <t>Spring Week 3</t>
  </si>
  <si>
    <t>Spring Week 4</t>
  </si>
  <si>
    <t>Spring Week 5</t>
  </si>
  <si>
    <t>Spring Week 6</t>
  </si>
  <si>
    <t>Spring Week 7</t>
  </si>
  <si>
    <t>Spring Week 8</t>
  </si>
  <si>
    <t>Spring Week 9</t>
  </si>
  <si>
    <t>Spring Week 10</t>
  </si>
  <si>
    <t>Spring Week 11</t>
  </si>
  <si>
    <t>Spring Week 12</t>
  </si>
  <si>
    <t>Sub-total</t>
  </si>
  <si>
    <t>CA weight</t>
  </si>
  <si>
    <t>CA Check</t>
  </si>
  <si>
    <t>P</t>
  </si>
  <si>
    <t>Source</t>
  </si>
  <si>
    <t>U</t>
  </si>
  <si>
    <t>PXT991</t>
  </si>
  <si>
    <t>PXT992</t>
  </si>
  <si>
    <t>Alternative Module Code</t>
  </si>
  <si>
    <t>Advanced Techniques in Physics and Astrophysics</t>
  </si>
  <si>
    <t>Advanced Study and Research Skills</t>
  </si>
  <si>
    <t>PX2236</t>
  </si>
  <si>
    <t>PX1224</t>
  </si>
  <si>
    <t>PX3242</t>
  </si>
  <si>
    <t>PX3245</t>
  </si>
  <si>
    <t>PX4221</t>
  </si>
  <si>
    <t>PX4224</t>
  </si>
  <si>
    <t>PX4230</t>
  </si>
  <si>
    <t>PX4231</t>
  </si>
  <si>
    <t>PX4245</t>
  </si>
  <si>
    <t>PX4294</t>
  </si>
  <si>
    <t>MScPhysics</t>
  </si>
  <si>
    <t>MScAstro</t>
  </si>
  <si>
    <t>Description</t>
  </si>
  <si>
    <t>Hours</t>
  </si>
  <si>
    <t>Nominal Hours</t>
  </si>
  <si>
    <t>Project</t>
  </si>
  <si>
    <t>CA Weight</t>
  </si>
  <si>
    <t>Proposal</t>
  </si>
  <si>
    <t>Data Analysis</t>
  </si>
  <si>
    <t>Report</t>
  </si>
  <si>
    <t>CA</t>
  </si>
  <si>
    <t>Workshops</t>
  </si>
  <si>
    <t>Presentation</t>
  </si>
  <si>
    <t>Video</t>
  </si>
  <si>
    <t>Business case</t>
  </si>
  <si>
    <t>Reports</t>
  </si>
  <si>
    <t>Contact Time</t>
  </si>
  <si>
    <t>Contact type</t>
  </si>
  <si>
    <t/>
  </si>
  <si>
    <t>PX1999</t>
  </si>
  <si>
    <t>Tutorials</t>
  </si>
  <si>
    <t>Workshop</t>
  </si>
  <si>
    <t>Lecture</t>
  </si>
  <si>
    <t>Lab</t>
  </si>
  <si>
    <t>N</t>
  </si>
  <si>
    <t>PhysAstro</t>
  </si>
  <si>
    <t>Grand Total</t>
  </si>
  <si>
    <t>sum</t>
  </si>
  <si>
    <t>Total</t>
  </si>
  <si>
    <t>Total Hours</t>
  </si>
  <si>
    <t>Total Assessment Time</t>
  </si>
  <si>
    <t>sum/credit</t>
  </si>
  <si>
    <t>Summative</t>
  </si>
  <si>
    <t>Y</t>
  </si>
  <si>
    <t>Project work</t>
  </si>
  <si>
    <t>Project Work</t>
  </si>
  <si>
    <t>Project Report</t>
  </si>
  <si>
    <t>Exam Weight (%)</t>
  </si>
  <si>
    <t>PX2145</t>
  </si>
  <si>
    <t>Scientific Programming</t>
  </si>
  <si>
    <t>Solid State Physics</t>
  </si>
  <si>
    <t>Electromagnetic Radiation Detection</t>
  </si>
  <si>
    <t>PX4126</t>
  </si>
  <si>
    <t>PX4239</t>
  </si>
  <si>
    <t>Quantum Statistical Mechanics</t>
  </si>
  <si>
    <t>MScCSPhysics</t>
  </si>
  <si>
    <t>PXT309</t>
  </si>
  <si>
    <t>Cleanroom Processes &amp; Fabrication</t>
  </si>
  <si>
    <t>PXT104</t>
  </si>
  <si>
    <t>LabVIEW Programming for Physicists</t>
  </si>
  <si>
    <t>PXT304</t>
  </si>
  <si>
    <t>Optical Semiconductor Device Modelling</t>
  </si>
  <si>
    <t>PX3140</t>
  </si>
  <si>
    <t>PXT134</t>
  </si>
  <si>
    <t>PXT139</t>
  </si>
  <si>
    <t>PXT166</t>
  </si>
  <si>
    <t>PX1130</t>
  </si>
  <si>
    <t>Mechanics and Relativity</t>
  </si>
  <si>
    <t>Formative Quiz</t>
  </si>
  <si>
    <t>PX1140</t>
  </si>
  <si>
    <t>Introduction to Quantum Physics and Materials</t>
  </si>
  <si>
    <t>Quantum Mechanics</t>
  </si>
  <si>
    <t>PX2142</t>
  </si>
  <si>
    <t>Seminar participation</t>
  </si>
  <si>
    <t>Reflection</t>
  </si>
  <si>
    <t>Quiz</t>
  </si>
  <si>
    <t>Lab Diary</t>
  </si>
  <si>
    <t>Poster Pres</t>
  </si>
  <si>
    <t>Exercise</t>
  </si>
  <si>
    <t>Reflective Statement</t>
  </si>
  <si>
    <t>Problem Sheet</t>
  </si>
  <si>
    <t>Class Test</t>
  </si>
  <si>
    <t>Science Case report</t>
  </si>
  <si>
    <t>CA (coding)</t>
  </si>
  <si>
    <t>Problem sets</t>
  </si>
  <si>
    <t>AllUG</t>
  </si>
  <si>
    <t>AllPG</t>
  </si>
  <si>
    <t>Numerical CA</t>
  </si>
  <si>
    <t>Modelling CA</t>
  </si>
  <si>
    <t>Exercise 1</t>
  </si>
  <si>
    <t>Exercise 2</t>
  </si>
  <si>
    <t>Exercise 3</t>
  </si>
  <si>
    <t>CA (online)</t>
  </si>
  <si>
    <t>Po</t>
  </si>
  <si>
    <t>Weekly Quizzes</t>
  </si>
  <si>
    <t>Quiz Portfolios</t>
  </si>
  <si>
    <t>Weekly Quizzes
(best 6 of 8)</t>
  </si>
  <si>
    <t>Quizzes 1
(best 3 of 5)</t>
  </si>
  <si>
    <t>Quiz portfolio
(best 7 of 10)</t>
  </si>
  <si>
    <t>Group Video</t>
  </si>
  <si>
    <t>Weekly Quizzes
(best 6 of 10)</t>
  </si>
  <si>
    <t>Quizzes
(best 6 of 10)</t>
  </si>
  <si>
    <t>Weekly Quizzes
(best 5 of 10)</t>
  </si>
  <si>
    <t>Weekly Tests 1
(best 3 of 5)</t>
  </si>
  <si>
    <t>Weekly Tests 2
(best 3 of 5)</t>
  </si>
  <si>
    <t>Weekly Quizzes 1
(best 3 of 5)</t>
  </si>
  <si>
    <t>Weekly Quizzes 2
(best 3 of 5)</t>
  </si>
  <si>
    <t>Lab Diary
(best 2 of 3)</t>
  </si>
  <si>
    <t>Weekly Quizzes
(best 7 of 10)</t>
  </si>
  <si>
    <t>Weekly Quizzes
(best 8 of 10)</t>
  </si>
  <si>
    <t>Semiconductor Fabrication</t>
  </si>
  <si>
    <t>Weekly Tasks (P)</t>
  </si>
  <si>
    <t>Peer assess. (P)</t>
  </si>
  <si>
    <t>Synoptic Refl. (P)</t>
  </si>
  <si>
    <t>Quiz Portfolio (P)
(best 5 of 8)</t>
  </si>
  <si>
    <t>Weekly Quizzes (P)</t>
  </si>
  <si>
    <t>Quiz Portfolio</t>
  </si>
  <si>
    <t>Quizzes (P)</t>
  </si>
  <si>
    <t>Practical Skills (P)</t>
  </si>
  <si>
    <t>Th</t>
  </si>
  <si>
    <t>Performance (P)</t>
  </si>
  <si>
    <t>Lab report</t>
  </si>
  <si>
    <t>Online test 1</t>
  </si>
  <si>
    <t>Online test 2</t>
  </si>
  <si>
    <t>Group Project</t>
  </si>
  <si>
    <t>Mo</t>
  </si>
  <si>
    <t>Supervisor Assess.</t>
  </si>
  <si>
    <t>OA</t>
  </si>
  <si>
    <t>Microproject viva (*)</t>
  </si>
  <si>
    <t>(TBC)</t>
  </si>
  <si>
    <t>Online Training</t>
  </si>
  <si>
    <t>Research paper</t>
  </si>
  <si>
    <t>Project plan</t>
  </si>
  <si>
    <t>ENT610</t>
  </si>
  <si>
    <t>High Frequency Device Physics and Design</t>
  </si>
  <si>
    <t>CA 1</t>
  </si>
  <si>
    <t>Su</t>
  </si>
  <si>
    <t>CA 2</t>
  </si>
  <si>
    <t>ENT871</t>
  </si>
  <si>
    <t>Micro- and Nano-engineering</t>
  </si>
  <si>
    <t>Lab Report A</t>
  </si>
  <si>
    <t>Fr</t>
  </si>
  <si>
    <t>Lab Report B</t>
  </si>
  <si>
    <t>Lab Report C</t>
  </si>
  <si>
    <t>CMT307</t>
  </si>
  <si>
    <t>Applied Machine Learning</t>
  </si>
  <si>
    <t>ML Project</t>
  </si>
  <si>
    <t>Class Test (*)</t>
  </si>
  <si>
    <t>CMT311</t>
  </si>
  <si>
    <t>Principles of Machine Learning</t>
  </si>
  <si>
    <t>ML Methods</t>
  </si>
  <si>
    <t>Day of Week</t>
  </si>
  <si>
    <t>Interim Diary</t>
  </si>
  <si>
    <t>Project Diary</t>
  </si>
  <si>
    <t>Gregynog (*)</t>
  </si>
  <si>
    <t>Interim Report</t>
  </si>
  <si>
    <t>Presentation (*)</t>
  </si>
  <si>
    <t>Viva (*)</t>
  </si>
  <si>
    <t>W</t>
  </si>
  <si>
    <t>Workshops (*)</t>
  </si>
  <si>
    <t>Lab Engagement</t>
  </si>
  <si>
    <t>Data Analysis (*)</t>
  </si>
  <si>
    <t>Lab Diary (*)</t>
  </si>
  <si>
    <t>Final Report</t>
  </si>
  <si>
    <t>Assignment</t>
  </si>
  <si>
    <t>Tu</t>
  </si>
  <si>
    <t>TBC)</t>
  </si>
  <si>
    <t>Python exercise (*)</t>
  </si>
  <si>
    <t>(Lab)</t>
  </si>
  <si>
    <t>CA1</t>
  </si>
  <si>
    <t>CA2</t>
  </si>
  <si>
    <t>AstroPhoto</t>
  </si>
  <si>
    <t>Workshop (P)</t>
  </si>
  <si>
    <t>We</t>
  </si>
  <si>
    <t>Mo/Th</t>
  </si>
  <si>
    <t>Th/Fr</t>
  </si>
  <si>
    <t>Laser Physics and Non-Linear Optics</t>
  </si>
  <si>
    <t>Abstract</t>
  </si>
  <si>
    <t>Pres (*)
(+/- 1wk)</t>
  </si>
  <si>
    <t>Final Diary</t>
  </si>
  <si>
    <t>(*)</t>
  </si>
  <si>
    <t>Group Presentation (*)</t>
  </si>
  <si>
    <t>Class Tests (*)
(best 5 of 10)</t>
  </si>
  <si>
    <t>Tu/Fr</t>
  </si>
  <si>
    <t>Spring Exams</t>
  </si>
  <si>
    <t>RP</t>
  </si>
  <si>
    <t>Lab Notebook</t>
  </si>
  <si>
    <t>Lab Diary (P)</t>
  </si>
  <si>
    <t>Quizzes (best 6 of 9)</t>
  </si>
  <si>
    <t>Article</t>
  </si>
  <si>
    <t>3min Pres (*)</t>
  </si>
  <si>
    <t>Group Pres (*)</t>
  </si>
  <si>
    <t>Portfolio (P)</t>
  </si>
  <si>
    <t>n/a</t>
  </si>
  <si>
    <t>na/</t>
  </si>
  <si>
    <t>PXT143</t>
  </si>
  <si>
    <t>SEM3</t>
  </si>
  <si>
    <t>ENT795</t>
  </si>
  <si>
    <t>Optoelectronics</t>
  </si>
  <si>
    <t>CDTCSPhysics</t>
  </si>
  <si>
    <t>MScDataPhys</t>
  </si>
  <si>
    <t>MScDataAstro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</si>
</sst>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Calibri (Body)"/>
    </font>
    <font>
      <strike/>
      <sz val="11"/>
      <name val="Calibri (Body)"/>
    </font>
    <font>
      <sz val="11"/>
      <name val="Calibri"/>
      <family val="2"/>
    </font>
    <font>
      <sz val="10"/>
      <name val="Calibri"/>
      <family val="2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0" borderId="1" xfId="0" applyBorder="1" applyAlignment="1">
      <alignment horizontal="left" vertical="center"/>
    </xf>
    <xf numFmtId="0" fontId="2" fillId="0" borderId="0" xfId="0" applyFont="1" applyAlignment="1">
      <alignment vertical="center" wrapText="1"/>
    </xf>
    <xf numFmtId="2" fontId="2" fillId="0" borderId="0" xfId="0" applyNumberFormat="1" applyFont="1" applyAlignment="1">
      <alignment vertical="center" readingOrder="1"/>
    </xf>
    <xf numFmtId="0" fontId="2" fillId="0" borderId="0" xfId="0" applyFont="1" applyAlignment="1">
      <alignment vertical="center" readingOrder="1"/>
    </xf>
    <xf numFmtId="0" fontId="0" fillId="0" borderId="0" xfId="0" applyAlignment="1">
      <alignment horizontal="left" vertical="center"/>
    </xf>
    <xf numFmtId="0" fontId="0" fillId="0" borderId="0" xfId="0" quotePrefix="1"/>
    <xf numFmtId="2" fontId="0" fillId="0" borderId="0" xfId="0" applyNumberFormat="1" applyAlignment="1">
      <alignment vertical="center" readingOrder="1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 readingOrder="1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 readingOrder="1"/>
    </xf>
    <xf numFmtId="2" fontId="2" fillId="0" borderId="0" xfId="0" applyNumberFormat="1" applyFont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2" fontId="6" fillId="2" borderId="0" xfId="0" applyNumberFormat="1" applyFont="1" applyFill="1" applyAlignment="1">
      <alignment vertical="center"/>
    </xf>
    <xf numFmtId="2" fontId="6" fillId="3" borderId="0" xfId="0" applyNumberFormat="1" applyFont="1" applyFill="1" applyAlignment="1">
      <alignment vertical="center"/>
    </xf>
    <xf numFmtId="0" fontId="6" fillId="3" borderId="0" xfId="0" applyFont="1" applyFill="1"/>
    <xf numFmtId="0" fontId="0" fillId="0" borderId="1" xfId="0" applyBorder="1" applyAlignment="1">
      <alignment vertical="center"/>
    </xf>
    <xf numFmtId="164" fontId="2" fillId="2" borderId="0" xfId="0" applyNumberFormat="1" applyFont="1" applyFill="1" applyAlignment="1">
      <alignment horizontal="center" vertical="center" wrapText="1" readingOrder="1"/>
    </xf>
    <xf numFmtId="164" fontId="2" fillId="2" borderId="0" xfId="0" applyNumberFormat="1" applyFont="1" applyFill="1" applyAlignment="1">
      <alignment horizontal="center" vertical="center" readingOrder="1"/>
    </xf>
    <xf numFmtId="164" fontId="2" fillId="3" borderId="0" xfId="0" applyNumberFormat="1" applyFont="1" applyFill="1" applyAlignment="1">
      <alignment horizontal="center" vertical="center" wrapText="1" readingOrder="1"/>
    </xf>
    <xf numFmtId="164" fontId="4" fillId="3" borderId="0" xfId="0" applyNumberFormat="1" applyFont="1" applyFill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164" fontId="6" fillId="2" borderId="0" xfId="0" applyNumberFormat="1" applyFont="1" applyFill="1" applyAlignment="1">
      <alignment vertical="center"/>
    </xf>
    <xf numFmtId="164" fontId="3" fillId="2" borderId="0" xfId="0" applyNumberFormat="1" applyFont="1" applyFill="1" applyAlignment="1">
      <alignment horizontal="center" vertical="center" readingOrder="1"/>
    </xf>
    <xf numFmtId="164" fontId="2" fillId="2" borderId="0" xfId="0" applyNumberFormat="1" applyFont="1" applyFill="1" applyAlignment="1">
      <alignment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 readingOrder="1"/>
    </xf>
    <xf numFmtId="2" fontId="2" fillId="0" borderId="0" xfId="0" applyNumberFormat="1" applyFont="1" applyAlignment="1">
      <alignment vertical="center" wrapText="1"/>
    </xf>
    <xf numFmtId="1" fontId="2" fillId="0" borderId="0" xfId="0" applyNumberFormat="1" applyFont="1" applyAlignment="1">
      <alignment horizontal="center" vertical="center" readingOrder="1"/>
    </xf>
    <xf numFmtId="1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 readingOrder="1"/>
    </xf>
    <xf numFmtId="0" fontId="2" fillId="2" borderId="0" xfId="0" applyFont="1" applyFill="1" applyAlignment="1">
      <alignment horizontal="center" vertical="center" readingOrder="1"/>
    </xf>
    <xf numFmtId="0" fontId="2" fillId="3" borderId="0" xfId="0" applyFont="1" applyFill="1" applyAlignment="1">
      <alignment horizontal="center" vertical="center" wrapText="1" readingOrder="1"/>
    </xf>
    <xf numFmtId="0" fontId="5" fillId="3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vertical="center"/>
    </xf>
    <xf numFmtId="0" fontId="0" fillId="0" borderId="0" xfId="0" pivotButton="1"/>
    <xf numFmtId="0" fontId="2" fillId="0" borderId="0" xfId="0" applyFont="1" applyAlignment="1">
      <alignment horizontal="center" vertical="center" wrapText="1" readingOrder="1"/>
    </xf>
    <xf numFmtId="1" fontId="0" fillId="0" borderId="0" xfId="0" applyNumberFormat="1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2" fontId="6" fillId="2" borderId="0" xfId="0" applyNumberFormat="1" applyFont="1" applyFill="1" applyAlignment="1">
      <alignment vertical="center" wrapText="1"/>
    </xf>
    <xf numFmtId="2" fontId="6" fillId="3" borderId="0" xfId="0" applyNumberFormat="1" applyFont="1" applyFill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wrapText="1"/>
    </xf>
    <xf numFmtId="2" fontId="2" fillId="0" borderId="0" xfId="0" applyNumberFormat="1" applyFont="1" applyAlignment="1">
      <alignment horizontal="center" vertical="center" wrapText="1" readingOrder="1"/>
    </xf>
    <xf numFmtId="2" fontId="2" fillId="0" borderId="0" xfId="0" applyNumberFormat="1" applyFont="1" applyFill="1" applyAlignment="1">
      <alignment vertical="center" readingOrder="1"/>
    </xf>
    <xf numFmtId="0" fontId="2" fillId="0" borderId="0" xfId="0" applyNumberFormat="1" applyFont="1" applyFill="1" applyAlignment="1">
      <alignment vertical="center" readingOrder="1"/>
    </xf>
    <xf numFmtId="2" fontId="2" fillId="0" borderId="0" xfId="0" applyNumberFormat="1" applyFont="1" applyFill="1" applyAlignment="1">
      <alignment vertical="center" wrapText="1"/>
    </xf>
    <xf numFmtId="0" fontId="0" fillId="0" borderId="0" xfId="0" applyFill="1"/>
    <xf numFmtId="0" fontId="0" fillId="0" borderId="0" xfId="0" applyNumberFormat="1" applyFill="1"/>
    <xf numFmtId="1" fontId="2" fillId="0" borderId="0" xfId="0" applyNumberFormat="1" applyFont="1" applyFill="1" applyAlignment="1">
      <alignment vertical="center" wrapText="1"/>
    </xf>
  </cellXfs>
  <cellStyles count="1">
    <cellStyle name="Normal" xfId="0" builtinId="0"/>
  </cellStyles>
  <dxfs count="120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0" tint="-0.24994659260841701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>
          <bgColor rgb="FFFFFF00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f-my.sharepoint.com/personal/northce_cardiff_ac_uk/Documents/Documents/Cardiff/DUGS/Assessments/Schedule%20Modelling/AssessmentSchedule_2526_v2.xlsx" TargetMode="External"/><Relationship Id="rId1" Type="http://schemas.openxmlformats.org/officeDocument/2006/relationships/externalLinkPath" Target="AssessmentSchedule_2526_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ssessments"/>
      <sheetName val="ContactTime"/>
      <sheetName val="Modules"/>
      <sheetName val="Sheet2"/>
    </sheetNames>
    <sheetDataSet>
      <sheetData sheetId="0"/>
      <sheetData sheetId="1"/>
      <sheetData sheetId="2"/>
      <sheetData sheetId="3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pher North" refreshedDate="45765.02011041667" createdVersion="8" refreshedVersion="8" minRefreshableVersion="3" recordCount="143" xr:uid="{E04CEB9F-6467-4C92-9E0B-C9E5172FE658}">
  <cacheSource type="worksheet">
    <worksheetSource name="Table1"/>
  </cacheSource>
  <cacheFields count="34">
    <cacheField name="Module Code" numFmtId="0">
      <sharedItems count="66">
        <s v="PX1120"/>
        <s v="PX1121"/>
        <s v="PX1127"/>
        <s v="PX1150"/>
        <s v="PX1221"/>
        <s v="PX1224"/>
        <s v="PX1228"/>
        <s v="PX1230"/>
        <s v="PX1240"/>
        <s v="PX2131"/>
        <s v="PX2132"/>
        <s v="PX2133"/>
        <s v="PX2134"/>
        <s v="PX2140"/>
        <s v="PX2141"/>
        <s v="PX2144"/>
        <s v="PX2150"/>
        <s v="PX2155"/>
        <s v="PX2231"/>
        <s v="PX2232"/>
        <s v="PX2236"/>
        <s v="PX2240"/>
        <s v="PX2241"/>
        <s v="PX2242"/>
        <s v="PX3141"/>
        <s v="PX3142"/>
        <s v="PX3143"/>
        <s v="PX3145"/>
        <s v="PX3150"/>
        <s v="PX3153"/>
        <s v="PX3155"/>
        <s v="PX3156"/>
        <s v="PX3158"/>
        <s v="PX3160"/>
        <s v="PX3164"/>
        <s v="PX3241"/>
        <s v="PX3242"/>
        <s v="PX3243"/>
        <s v="PX3245"/>
        <s v="PX3249"/>
        <s v="PX3253"/>
        <s v="PX3254"/>
        <s v="PX3255"/>
        <s v="PX3256"/>
        <s v="PX3350"/>
        <s v="PX4119"/>
        <s v="PX4124"/>
        <s v="PX4125"/>
        <s v="PX4131"/>
        <s v="PX4133"/>
        <s v="PX4134"/>
        <s v="PX4146"/>
        <s v="PX4195"/>
        <s v="PX4221"/>
        <s v="PX4224"/>
        <s v="PX4230"/>
        <s v="PX4231"/>
        <s v="PX4237"/>
        <s v="PX4240"/>
        <s v="PX4241"/>
        <s v="PX4245"/>
        <s v="PX4294"/>
        <s v="PX4296"/>
        <s v="PX4310"/>
        <s v="PXT991"/>
        <s v="PXT992"/>
      </sharedItems>
    </cacheField>
    <cacheField name="Module Title" numFmtId="0">
      <sharedItems/>
    </cacheField>
    <cacheField name="CA type" numFmtId="0">
      <sharedItems/>
    </cacheField>
    <cacheField name="CA Weight" numFmtId="1">
      <sharedItems containsSemiMixedTypes="0" containsString="0" containsNumber="1" containsInteger="1" minValue="20" maxValue="100"/>
    </cacheField>
    <cacheField name="Credits" numFmtId="1">
      <sharedItems containsSemiMixedTypes="0" containsString="0" containsNumber="1" containsInteger="1" minValue="10" maxValue="60" count="4">
        <n v="20"/>
        <n v="10"/>
        <n v="30"/>
        <n v="60"/>
      </sharedItems>
    </cacheField>
    <cacheField name="Description" numFmtId="0">
      <sharedItems containsBlank="1"/>
    </cacheField>
    <cacheField name="Duration" numFmtId="0">
      <sharedItems containsSemiMixedTypes="0" containsString="0" containsNumber="1" containsInteger="1" minValue="1" maxValue="12"/>
    </cacheField>
    <cacheField name="Nominal Hours" numFmtId="0">
      <sharedItems containsSemiMixedTypes="0" containsString="0" containsNumber="1" minValue="0.19999999999999996" maxValue="48" count="43">
        <n v="4"/>
        <n v="8"/>
        <n v="1.9999999999999998"/>
        <n v="4.0000000000000009"/>
        <n v="8.8888888888888893"/>
        <n v="13.333333333333332"/>
        <n v="16"/>
        <n v="10"/>
        <n v="0.8"/>
        <n v="0.79999999999999982"/>
        <n v="12"/>
        <n v="1.142857142857143"/>
        <n v="7.3333333333333339"/>
        <n v="14"/>
        <n v="11"/>
        <n v="6"/>
        <n v="0.44444444444444448"/>
        <n v="2"/>
        <n v="24"/>
        <n v="2.0000000000000004"/>
        <n v="1.2000000000000002"/>
        <n v="3.333333333333333"/>
        <n v="0.88888888888888895"/>
        <n v="7"/>
        <n v="0.99999999999999989"/>
        <n v="0.39999999999999991"/>
        <n v="1.5999999999999996"/>
        <n v="5.333333333333333"/>
        <n v="1.6"/>
        <n v="6.4"/>
        <n v="0.3636363636363637"/>
        <n v="25.6"/>
        <n v="0.19999999999999996"/>
        <n v="7.5"/>
        <n v="3"/>
        <n v="5.6000000000000005"/>
        <n v="0.75"/>
        <n v="20"/>
        <n v="19"/>
        <n v="6.6666666666666661"/>
        <n v="15"/>
        <n v="48"/>
        <n v="32"/>
      </sharedItems>
    </cacheField>
    <cacheField name="Hours" numFmtId="0">
      <sharedItems containsString="0" containsBlank="1" containsNumber="1" minValue="0" maxValue="120"/>
    </cacheField>
    <cacheField name="Autumn Week 1" numFmtId="164">
      <sharedItems containsString="0" containsBlank="1" containsNumber="1" minValue="1.1111111111111112E-2" maxValue="0.04"/>
    </cacheField>
    <cacheField name="Autumn Week 2" numFmtId="164">
      <sharedItems containsString="0" containsBlank="1" containsNumber="1" minValue="5.0000000000000001E-3" maxValue="0.1"/>
    </cacheField>
    <cacheField name="Autumn Week 3" numFmtId="164">
      <sharedItems containsString="0" containsBlank="1" containsNumber="1" minValue="5.0000000000000001E-3" maxValue="0.17499999999999999"/>
    </cacheField>
    <cacheField name="Autumn Week 4" numFmtId="164">
      <sharedItems containsString="0" containsBlank="1" containsNumber="1" minValue="5.0000000000000001E-3" maxValue="0.25"/>
    </cacheField>
    <cacheField name="Autumn Week 5" numFmtId="164">
      <sharedItems containsString="0" containsBlank="1" containsNumber="1" minValue="5.0000000000000001E-3" maxValue="0.3"/>
    </cacheField>
    <cacheField name="Autumn Week 6" numFmtId="164">
      <sharedItems containsString="0" containsBlank="1" containsNumber="1" minValue="5.0000000000000001E-3" maxValue="0.35"/>
    </cacheField>
    <cacheField name="Autumn Week 7" numFmtId="164">
      <sharedItems containsString="0" containsBlank="1" containsNumber="1" minValue="5.0000000000000001E-3" maxValue="0.35"/>
    </cacheField>
    <cacheField name="Autumn Week 8" numFmtId="164">
      <sharedItems containsString="0" containsBlank="1" containsNumber="1" minValue="5.0000000000000001E-3" maxValue="0.25"/>
    </cacheField>
    <cacheField name="Autumn Week 9" numFmtId="164">
      <sharedItems containsString="0" containsBlank="1" containsNumber="1" minValue="5.0000000000000001E-3" maxValue="0.25"/>
    </cacheField>
    <cacheField name="Autumn Week 10" numFmtId="164">
      <sharedItems containsString="0" containsBlank="1" containsNumber="1" minValue="5.0000000000000001E-3" maxValue="0.45"/>
    </cacheField>
    <cacheField name="Autumn Week 11" numFmtId="164">
      <sharedItems containsString="0" containsBlank="1" containsNumber="1" minValue="5.0000000000000001E-3" maxValue="0.5"/>
    </cacheField>
    <cacheField name="Autumn Week 12" numFmtId="164">
      <sharedItems containsString="0" containsBlank="1" containsNumber="1" minValue="6.25E-2" maxValue="0.25"/>
    </cacheField>
    <cacheField name="Spring Week 1" numFmtId="164">
      <sharedItems containsString="0" containsBlank="1" containsNumber="1" minValue="9.0909090909090922E-3" maxValue="0.1"/>
    </cacheField>
    <cacheField name="Spring Week 2" numFmtId="164">
      <sharedItems containsString="0" containsBlank="1" containsNumber="1" minValue="9.0909090909090922E-3" maxValue="8.3333333333333329E-2"/>
    </cacheField>
    <cacheField name="Spring Week 3" numFmtId="164">
      <sharedItems containsString="0" containsBlank="1" containsNumber="1" minValue="9.0909090909090922E-3" maxValue="0.2"/>
    </cacheField>
    <cacheField name="Spring Week 4" numFmtId="164">
      <sharedItems containsString="0" containsBlank="1" containsNumber="1" minValue="9.0909090909090922E-3" maxValue="0.2"/>
    </cacheField>
    <cacheField name="Spring Week 5" numFmtId="164">
      <sharedItems containsString="0" containsBlank="1" containsNumber="1" minValue="9.0909090909090922E-3" maxValue="0.2"/>
    </cacheField>
    <cacheField name="Spring Week 6" numFmtId="164">
      <sharedItems containsString="0" containsBlank="1" containsNumber="1" minValue="9.0909090909090922E-3" maxValue="0.4"/>
    </cacheField>
    <cacheField name="Spring Week 7" numFmtId="164">
      <sharedItems containsString="0" containsBlank="1" containsNumber="1" minValue="9.0909090909090922E-3" maxValue="0.4"/>
    </cacheField>
    <cacheField name="Spring Week 8" numFmtId="164">
      <sharedItems containsString="0" containsBlank="1" containsNumber="1" minValue="9.0909090909090922E-3" maxValue="0.4"/>
    </cacheField>
    <cacheField name="Spring Week 9" numFmtId="164">
      <sharedItems containsString="0" containsBlank="1" containsNumber="1" minValue="9.0909090909090922E-3" maxValue="0.3"/>
    </cacheField>
    <cacheField name="Spring Week 10" numFmtId="164">
      <sharedItems containsString="0" containsBlank="1" containsNumber="1" minValue="9.0909090909090922E-3" maxValue="0.55000000000000004"/>
    </cacheField>
    <cacheField name="Spring Week 11" numFmtId="164">
      <sharedItems containsString="0" containsBlank="1" containsNumber="1" minValue="9.0909090909090922E-3" maxValue="0.4"/>
    </cacheField>
    <cacheField name="Spring Week 12" numFmtId="164">
      <sharedItems containsString="0" containsBlank="1" containsNumber="1" minValue="0.05" maxValue="0.64"/>
    </cacheField>
    <cacheField name="Sub-total" numFmtId="164">
      <sharedItems containsSemiMixedTypes="0" containsString="0" containsNumber="1" minValue="0.04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">
  <r>
    <x v="0"/>
    <s v="Mathematical Methods for Physicists I"/>
    <s v="QU"/>
    <n v="40"/>
    <x v="0"/>
    <s v="Weekly Quizzes"/>
    <n v="1"/>
    <x v="0"/>
    <n v="0.5"/>
    <m/>
    <n v="0.05"/>
    <n v="0.05"/>
    <m/>
    <m/>
    <m/>
    <n v="0.05"/>
    <m/>
    <m/>
    <m/>
    <n v="0.05"/>
    <m/>
    <m/>
    <m/>
    <m/>
    <m/>
    <m/>
    <m/>
    <m/>
    <m/>
    <m/>
    <m/>
    <m/>
    <m/>
    <n v="0.2"/>
  </r>
  <r>
    <x v="0"/>
    <s v="Mathematical Methods for Physicists I"/>
    <s v="CW"/>
    <n v="40"/>
    <x v="0"/>
    <s v="Assignments"/>
    <n v="4"/>
    <x v="1"/>
    <m/>
    <m/>
    <m/>
    <m/>
    <m/>
    <n v="0.1"/>
    <m/>
    <m/>
    <m/>
    <n v="0.1"/>
    <m/>
    <m/>
    <m/>
    <m/>
    <m/>
    <m/>
    <m/>
    <m/>
    <m/>
    <m/>
    <m/>
    <m/>
    <m/>
    <m/>
    <m/>
    <n v="0.2"/>
  </r>
  <r>
    <x v="1"/>
    <s v="Mechanics and Matter"/>
    <s v="CW"/>
    <n v="40"/>
    <x v="0"/>
    <s v="CA"/>
    <n v="3"/>
    <x v="1"/>
    <m/>
    <m/>
    <m/>
    <n v="0.1"/>
    <m/>
    <m/>
    <n v="0.1"/>
    <m/>
    <m/>
    <m/>
    <m/>
    <m/>
    <m/>
    <m/>
    <m/>
    <m/>
    <m/>
    <m/>
    <m/>
    <m/>
    <m/>
    <m/>
    <m/>
    <m/>
    <m/>
    <n v="0.2"/>
  </r>
  <r>
    <x v="1"/>
    <s v="Mechanics and Matter"/>
    <s v="QU"/>
    <n v="40"/>
    <x v="0"/>
    <s v="Weekly Quizzes"/>
    <n v="1"/>
    <x v="2"/>
    <n v="0.5"/>
    <m/>
    <m/>
    <n v="2.5000000000000001E-2"/>
    <n v="2.5000000000000001E-2"/>
    <n v="2.5000000000000001E-2"/>
    <n v="2.5000000000000001E-2"/>
    <n v="2.5000000000000001E-2"/>
    <n v="2.5000000000000001E-2"/>
    <n v="2.5000000000000001E-2"/>
    <n v="2.5000000000000001E-2"/>
    <m/>
    <m/>
    <m/>
    <m/>
    <m/>
    <m/>
    <m/>
    <m/>
    <m/>
    <m/>
    <m/>
    <m/>
    <m/>
    <m/>
    <n v="0.19999999999999998"/>
  </r>
  <r>
    <x v="2"/>
    <s v="Planet Earth"/>
    <s v="CW"/>
    <n v="50"/>
    <x v="1"/>
    <s v="Online tests"/>
    <n v="2"/>
    <x v="3"/>
    <n v="0.5"/>
    <m/>
    <m/>
    <m/>
    <n v="0.1"/>
    <m/>
    <m/>
    <m/>
    <n v="0.1"/>
    <m/>
    <n v="0.1"/>
    <m/>
    <m/>
    <m/>
    <m/>
    <m/>
    <m/>
    <m/>
    <m/>
    <m/>
    <m/>
    <m/>
    <m/>
    <m/>
    <m/>
    <n v="0.30000000000000004"/>
  </r>
  <r>
    <x v="2"/>
    <s v="Planet Earth"/>
    <s v="PR"/>
    <n v="50"/>
    <x v="1"/>
    <s v="Presentation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2"/>
    <s v="Planet Earth"/>
    <s v="CW"/>
    <n v="50"/>
    <x v="1"/>
    <s v="Factsheet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3"/>
    <s v="Experimental Physics "/>
    <s v="LB"/>
    <n v="100"/>
    <x v="0"/>
    <s v="Lab Diaries"/>
    <n v="2"/>
    <x v="4"/>
    <n v="6"/>
    <m/>
    <m/>
    <m/>
    <m/>
    <n v="0.1111111111111111"/>
    <m/>
    <n v="0.1111111111111111"/>
    <m/>
    <n v="0.1111111111111111"/>
    <m/>
    <m/>
    <m/>
    <m/>
    <m/>
    <n v="0.1111111111111111"/>
    <m/>
    <n v="0.1111111111111111"/>
    <m/>
    <n v="0.1111111111111111"/>
    <m/>
    <m/>
    <m/>
    <m/>
    <m/>
    <n v="0.66666666666666674"/>
  </r>
  <r>
    <x v="3"/>
    <s v="Experimental Physics "/>
    <s v="CW"/>
    <n v="100"/>
    <x v="0"/>
    <s v="Report"/>
    <n v="3"/>
    <x v="5"/>
    <m/>
    <m/>
    <m/>
    <m/>
    <m/>
    <m/>
    <m/>
    <m/>
    <m/>
    <m/>
    <m/>
    <n v="0.16666666666666666"/>
    <m/>
    <m/>
    <m/>
    <m/>
    <m/>
    <m/>
    <m/>
    <m/>
    <m/>
    <m/>
    <m/>
    <n v="0.16666666666666666"/>
    <m/>
    <n v="0.33333333333333331"/>
  </r>
  <r>
    <x v="4"/>
    <s v="Electricity, Magnetism and Waves"/>
    <s v="CT"/>
    <n v="40"/>
    <x v="0"/>
    <s v="Mid-term test"/>
    <n v="4"/>
    <x v="6"/>
    <n v="1"/>
    <m/>
    <m/>
    <m/>
    <m/>
    <m/>
    <m/>
    <m/>
    <m/>
    <m/>
    <m/>
    <m/>
    <m/>
    <m/>
    <m/>
    <m/>
    <m/>
    <m/>
    <n v="0.2"/>
    <m/>
    <m/>
    <m/>
    <m/>
    <m/>
    <m/>
    <n v="0.2"/>
  </r>
  <r>
    <x v="4"/>
    <s v="Electricity, Magnetism and Waves"/>
    <s v="CW"/>
    <n v="40"/>
    <x v="0"/>
    <s v="CA"/>
    <n v="2"/>
    <x v="1"/>
    <m/>
    <m/>
    <m/>
    <m/>
    <m/>
    <m/>
    <m/>
    <m/>
    <m/>
    <m/>
    <m/>
    <m/>
    <m/>
    <m/>
    <m/>
    <m/>
    <m/>
    <m/>
    <m/>
    <n v="0.1"/>
    <m/>
    <n v="0.1"/>
    <m/>
    <m/>
    <m/>
    <n v="0.2"/>
  </r>
  <r>
    <x v="5"/>
    <s v="Computational Skills for Problem Solving"/>
    <s v="LB"/>
    <n v="100"/>
    <x v="1"/>
    <s v="Workshops"/>
    <n v="1"/>
    <x v="2"/>
    <n v="0"/>
    <m/>
    <m/>
    <m/>
    <m/>
    <m/>
    <m/>
    <m/>
    <m/>
    <m/>
    <m/>
    <m/>
    <m/>
    <n v="0.05"/>
    <n v="0.05"/>
    <n v="0.05"/>
    <n v="0.05"/>
    <n v="0.05"/>
    <n v="0.05"/>
    <n v="0.05"/>
    <n v="0.05"/>
    <n v="0.05"/>
    <n v="0.05"/>
    <m/>
    <m/>
    <n v="0.49999999999999994"/>
  </r>
  <r>
    <x v="5"/>
    <s v="Computational Skills for Problem Solving"/>
    <s v="CW"/>
    <n v="100"/>
    <x v="1"/>
    <s v="CA"/>
    <n v="3"/>
    <x v="7"/>
    <n v="5"/>
    <m/>
    <m/>
    <m/>
    <m/>
    <m/>
    <m/>
    <m/>
    <m/>
    <m/>
    <m/>
    <m/>
    <m/>
    <m/>
    <m/>
    <m/>
    <m/>
    <m/>
    <m/>
    <m/>
    <n v="0.2"/>
    <m/>
    <m/>
    <n v="0.3"/>
    <m/>
    <n v="0.5"/>
  </r>
  <r>
    <x v="6"/>
    <s v="Introduction to Astrophysics"/>
    <s v="QU"/>
    <n v="30"/>
    <x v="1"/>
    <s v="Weekly Quizzes"/>
    <n v="1"/>
    <x v="8"/>
    <n v="0.5"/>
    <m/>
    <m/>
    <m/>
    <m/>
    <m/>
    <m/>
    <m/>
    <m/>
    <m/>
    <m/>
    <m/>
    <m/>
    <m/>
    <m/>
    <m/>
    <n v="0.02"/>
    <m/>
    <n v="0.02"/>
    <m/>
    <n v="0.02"/>
    <n v="0.02"/>
    <m/>
    <n v="0.02"/>
    <m/>
    <n v="0.1"/>
  </r>
  <r>
    <x v="6"/>
    <s v="Introduction to Astrophysics"/>
    <s v="CW"/>
    <n v="30"/>
    <x v="1"/>
    <s v="CA"/>
    <n v="4"/>
    <x v="0"/>
    <m/>
    <m/>
    <m/>
    <m/>
    <m/>
    <m/>
    <m/>
    <m/>
    <m/>
    <m/>
    <m/>
    <m/>
    <m/>
    <m/>
    <m/>
    <m/>
    <m/>
    <n v="0.1"/>
    <m/>
    <m/>
    <m/>
    <m/>
    <m/>
    <m/>
    <n v="0.1"/>
    <n v="0.2"/>
  </r>
  <r>
    <x v="7"/>
    <s v="Mathematical Methods for Physicists II"/>
    <s v="CW"/>
    <n v="40"/>
    <x v="1"/>
    <s v="CA"/>
    <n v="2"/>
    <x v="0"/>
    <m/>
    <m/>
    <m/>
    <m/>
    <m/>
    <m/>
    <m/>
    <m/>
    <m/>
    <m/>
    <m/>
    <m/>
    <m/>
    <m/>
    <m/>
    <n v="0.1"/>
    <m/>
    <n v="0.1"/>
    <m/>
    <m/>
    <n v="0.1"/>
    <m/>
    <n v="0.1"/>
    <m/>
    <m/>
    <n v="0.4"/>
  </r>
  <r>
    <x v="8"/>
    <s v="Introduction to Medical Physics"/>
    <s v="CW"/>
    <n v="20"/>
    <x v="1"/>
    <m/>
    <n v="6"/>
    <x v="1"/>
    <m/>
    <m/>
    <m/>
    <m/>
    <m/>
    <m/>
    <m/>
    <m/>
    <m/>
    <m/>
    <m/>
    <m/>
    <m/>
    <m/>
    <m/>
    <m/>
    <m/>
    <m/>
    <m/>
    <m/>
    <m/>
    <m/>
    <m/>
    <n v="0.2"/>
    <m/>
    <n v="0.2"/>
  </r>
  <r>
    <x v="9"/>
    <s v="The Physics of Fields and Flows "/>
    <s v="QU"/>
    <n v="40"/>
    <x v="0"/>
    <s v="Weekly Quizzes"/>
    <n v="1"/>
    <x v="9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9"/>
    <s v="The Physics of Fields and Flows "/>
    <s v="CW"/>
    <n v="40"/>
    <x v="0"/>
    <m/>
    <n v="3"/>
    <x v="10"/>
    <n v="15"/>
    <m/>
    <m/>
    <m/>
    <n v="0.15"/>
    <m/>
    <m/>
    <m/>
    <m/>
    <n v="0.15"/>
    <m/>
    <m/>
    <m/>
    <m/>
    <m/>
    <m/>
    <m/>
    <m/>
    <m/>
    <m/>
    <m/>
    <m/>
    <m/>
    <m/>
    <m/>
    <n v="0.3"/>
  </r>
  <r>
    <x v="10"/>
    <s v="Introductory Quantum Mechanics"/>
    <s v="CW"/>
    <n v="40"/>
    <x v="1"/>
    <m/>
    <n v="1"/>
    <x v="11"/>
    <m/>
    <m/>
    <n v="2.8571428571428574E-2"/>
    <n v="2.8571428571428574E-2"/>
    <n v="2.8571428571428574E-2"/>
    <n v="2.8571428571428574E-2"/>
    <m/>
    <n v="2.8571428571428574E-2"/>
    <n v="2.8571428571428574E-2"/>
    <m/>
    <n v="2.8571428571428574E-2"/>
    <m/>
    <m/>
    <m/>
    <m/>
    <m/>
    <m/>
    <m/>
    <m/>
    <m/>
    <m/>
    <m/>
    <m/>
    <m/>
    <m/>
    <n v="0.20000000000000004"/>
  </r>
  <r>
    <x v="10"/>
    <s v="Introductory Quantum Mechanics"/>
    <s v="PR"/>
    <n v="40"/>
    <x v="1"/>
    <m/>
    <n v="3"/>
    <x v="1"/>
    <n v="0.5"/>
    <m/>
    <m/>
    <m/>
    <m/>
    <m/>
    <m/>
    <m/>
    <m/>
    <n v="0.2"/>
    <m/>
    <m/>
    <m/>
    <m/>
    <m/>
    <m/>
    <m/>
    <m/>
    <m/>
    <m/>
    <m/>
    <m/>
    <m/>
    <m/>
    <m/>
    <n v="0.2"/>
  </r>
  <r>
    <x v="11"/>
    <s v="Intermediate Practical Physics I"/>
    <s v="LB"/>
    <n v="100"/>
    <x v="1"/>
    <s v="Lab Diaries"/>
    <n v="2"/>
    <x v="12"/>
    <n v="6"/>
    <m/>
    <m/>
    <m/>
    <m/>
    <n v="0.18333333333333335"/>
    <m/>
    <n v="0.18333333333333335"/>
    <m/>
    <n v="0.18333333333333335"/>
    <m/>
    <m/>
    <m/>
    <m/>
    <m/>
    <m/>
    <m/>
    <m/>
    <m/>
    <m/>
    <m/>
    <m/>
    <m/>
    <m/>
    <m/>
    <n v="0.55000000000000004"/>
  </r>
  <r>
    <x v="11"/>
    <s v="Intermediate Practical Physics I"/>
    <s v="CW"/>
    <n v="100"/>
    <x v="1"/>
    <s v="Data Analysis"/>
    <n v="1"/>
    <x v="0"/>
    <n v="1"/>
    <m/>
    <n v="0.1"/>
    <m/>
    <m/>
    <m/>
    <m/>
    <m/>
    <m/>
    <m/>
    <m/>
    <m/>
    <m/>
    <m/>
    <m/>
    <m/>
    <m/>
    <m/>
    <m/>
    <m/>
    <m/>
    <m/>
    <m/>
    <m/>
    <m/>
    <n v="0.1"/>
  </r>
  <r>
    <x v="11"/>
    <s v="Intermediate Practical Physics I"/>
    <s v="CW"/>
    <n v="100"/>
    <x v="1"/>
    <s v="Report"/>
    <n v="3"/>
    <x v="13"/>
    <m/>
    <m/>
    <m/>
    <m/>
    <m/>
    <m/>
    <m/>
    <m/>
    <m/>
    <m/>
    <m/>
    <n v="0.35"/>
    <m/>
    <m/>
    <m/>
    <m/>
    <m/>
    <m/>
    <m/>
    <m/>
    <m/>
    <m/>
    <m/>
    <m/>
    <m/>
    <n v="0.35"/>
  </r>
  <r>
    <x v="12"/>
    <s v="Structured Programming"/>
    <s v="CW"/>
    <n v="100"/>
    <x v="1"/>
    <s v="Weekly workshops"/>
    <n v="1"/>
    <x v="2"/>
    <n v="1"/>
    <m/>
    <n v="0.05"/>
    <n v="0.05"/>
    <n v="0.05"/>
    <n v="0.05"/>
    <n v="0.05"/>
    <n v="0.05"/>
    <n v="0.05"/>
    <n v="0.05"/>
    <n v="0.05"/>
    <m/>
    <m/>
    <m/>
    <m/>
    <m/>
    <m/>
    <m/>
    <m/>
    <m/>
    <m/>
    <m/>
    <m/>
    <m/>
    <m/>
    <n v="0.44999999999999996"/>
  </r>
  <r>
    <x v="12"/>
    <s v="Structured Programming"/>
    <s v="CW"/>
    <n v="100"/>
    <x v="1"/>
    <s v="Assignments"/>
    <n v="3"/>
    <x v="14"/>
    <n v="15"/>
    <m/>
    <m/>
    <m/>
    <m/>
    <m/>
    <m/>
    <n v="0.25"/>
    <m/>
    <m/>
    <n v="0.3"/>
    <m/>
    <m/>
    <m/>
    <m/>
    <m/>
    <m/>
    <m/>
    <m/>
    <m/>
    <m/>
    <m/>
    <m/>
    <m/>
    <m/>
    <n v="0.55000000000000004"/>
  </r>
  <r>
    <x v="13"/>
    <s v="The Stars and their Planets"/>
    <s v="QU"/>
    <n v="50"/>
    <x v="1"/>
    <s v="Weekly Quizzes"/>
    <n v="1"/>
    <x v="9"/>
    <n v="0.5"/>
    <n v="0.02"/>
    <n v="0.02"/>
    <n v="0.02"/>
    <n v="0.02"/>
    <n v="0.02"/>
    <n v="0.02"/>
    <n v="0.02"/>
    <n v="0.02"/>
    <n v="0.02"/>
    <n v="0.02"/>
    <m/>
    <m/>
    <m/>
    <m/>
    <m/>
    <m/>
    <m/>
    <m/>
    <m/>
    <m/>
    <m/>
    <m/>
    <m/>
    <m/>
    <n v="0.19999999999999998"/>
  </r>
  <r>
    <x v="13"/>
    <s v="The Stars and their Planets"/>
    <s v="CW"/>
    <n v="50"/>
    <x v="1"/>
    <m/>
    <n v="3"/>
    <x v="15"/>
    <n v="6"/>
    <m/>
    <m/>
    <m/>
    <m/>
    <m/>
    <n v="0.15"/>
    <m/>
    <m/>
    <n v="0.15"/>
    <m/>
    <m/>
    <m/>
    <m/>
    <m/>
    <m/>
    <m/>
    <m/>
    <m/>
    <m/>
    <m/>
    <m/>
    <m/>
    <m/>
    <m/>
    <n v="0.3"/>
  </r>
  <r>
    <x v="14"/>
    <s v="Pathways to success"/>
    <s v="QU"/>
    <n v="100"/>
    <x v="1"/>
    <s v="Weekly tasks"/>
    <n v="1"/>
    <x v="16"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14"/>
    <s v="Pathways to success"/>
    <s v="CW"/>
    <n v="100"/>
    <x v="1"/>
    <s v="Applications"/>
    <n v="2"/>
    <x v="15"/>
    <n v="2"/>
    <m/>
    <m/>
    <m/>
    <n v="0.2"/>
    <m/>
    <m/>
    <m/>
    <m/>
    <n v="0.2"/>
    <m/>
    <n v="0.05"/>
    <m/>
    <m/>
    <m/>
    <m/>
    <m/>
    <m/>
    <m/>
    <m/>
    <m/>
    <m/>
    <m/>
    <m/>
    <m/>
    <n v="0.45"/>
  </r>
  <r>
    <x v="14"/>
    <s v="Pathways to success"/>
    <s v="PR"/>
    <n v="100"/>
    <x v="1"/>
    <s v="Presentation"/>
    <n v="3"/>
    <x v="1"/>
    <n v="15"/>
    <m/>
    <m/>
    <m/>
    <m/>
    <m/>
    <m/>
    <m/>
    <n v="0.2"/>
    <m/>
    <m/>
    <m/>
    <m/>
    <m/>
    <m/>
    <m/>
    <m/>
    <m/>
    <m/>
    <m/>
    <m/>
    <m/>
    <m/>
    <m/>
    <m/>
    <n v="0.2"/>
  </r>
  <r>
    <x v="14"/>
    <s v="Pathways to success"/>
    <s v="PO"/>
    <n v="100"/>
    <x v="1"/>
    <s v="Reflective Statement"/>
    <n v="9"/>
    <x v="7"/>
    <n v="9"/>
    <m/>
    <m/>
    <m/>
    <m/>
    <m/>
    <m/>
    <m/>
    <m/>
    <m/>
    <m/>
    <n v="0.25"/>
    <m/>
    <m/>
    <m/>
    <m/>
    <m/>
    <m/>
    <m/>
    <m/>
    <m/>
    <m/>
    <m/>
    <m/>
    <m/>
    <n v="0.25"/>
  </r>
  <r>
    <x v="15"/>
    <s v="Biophysics"/>
    <s v="LB"/>
    <n v="50"/>
    <x v="1"/>
    <s v="Lab Diaries"/>
    <n v="1"/>
    <x v="17"/>
    <n v="3"/>
    <m/>
    <m/>
    <m/>
    <m/>
    <m/>
    <n v="0.05"/>
    <n v="0.05"/>
    <n v="0.05"/>
    <n v="0.05"/>
    <n v="0.05"/>
    <m/>
    <m/>
    <m/>
    <m/>
    <m/>
    <m/>
    <m/>
    <m/>
    <m/>
    <m/>
    <m/>
    <m/>
    <m/>
    <m/>
    <n v="0.25"/>
  </r>
  <r>
    <x v="15"/>
    <s v="Biophysics"/>
    <s v="CW"/>
    <n v="50"/>
    <x v="1"/>
    <s v="Report"/>
    <n v="5"/>
    <x v="7"/>
    <m/>
    <m/>
    <m/>
    <m/>
    <m/>
    <m/>
    <m/>
    <m/>
    <m/>
    <m/>
    <m/>
    <m/>
    <n v="0.25"/>
    <m/>
    <m/>
    <m/>
    <m/>
    <m/>
    <m/>
    <m/>
    <m/>
    <m/>
    <m/>
    <m/>
    <m/>
    <n v="0.25"/>
  </r>
  <r>
    <x v="16"/>
    <s v="Intermediate Practical Physics "/>
    <s v="LB"/>
    <n v="100"/>
    <x v="0"/>
    <s v="Lab Diaries"/>
    <n v="2"/>
    <x v="15"/>
    <n v="6"/>
    <m/>
    <m/>
    <m/>
    <m/>
    <n v="7.4999999999999997E-2"/>
    <m/>
    <n v="7.4999999999999997E-2"/>
    <m/>
    <n v="7.4999999999999997E-2"/>
    <m/>
    <n v="7.4999999999999997E-2"/>
    <m/>
    <m/>
    <m/>
    <n v="7.4999999999999997E-2"/>
    <m/>
    <n v="7.4999999999999997E-2"/>
    <m/>
    <n v="7.4999999999999997E-2"/>
    <m/>
    <n v="7.4999999999999997E-2"/>
    <m/>
    <m/>
    <m/>
    <n v="0.6"/>
  </r>
  <r>
    <x v="16"/>
    <s v="Intermediate Practical Physics "/>
    <s v="CW"/>
    <n v="100"/>
    <x v="0"/>
    <s v="Data Analysis"/>
    <n v="1"/>
    <x v="0"/>
    <n v="1"/>
    <m/>
    <n v="0.05"/>
    <m/>
    <m/>
    <m/>
    <m/>
    <m/>
    <m/>
    <m/>
    <m/>
    <m/>
    <m/>
    <m/>
    <m/>
    <m/>
    <m/>
    <m/>
    <m/>
    <m/>
    <m/>
    <m/>
    <m/>
    <m/>
    <m/>
    <n v="0.05"/>
  </r>
  <r>
    <x v="16"/>
    <s v="Intermediate Practical Physics "/>
    <s v="PO"/>
    <n v="100"/>
    <x v="0"/>
    <s v="Reflective Statement"/>
    <n v="11"/>
    <x v="18"/>
    <n v="0.5"/>
    <m/>
    <m/>
    <m/>
    <m/>
    <m/>
    <m/>
    <m/>
    <m/>
    <m/>
    <m/>
    <m/>
    <m/>
    <m/>
    <m/>
    <m/>
    <m/>
    <m/>
    <m/>
    <m/>
    <m/>
    <m/>
    <m/>
    <n v="0.3"/>
    <m/>
    <n v="0.3"/>
  </r>
  <r>
    <x v="16"/>
    <s v="Intermediate Practical Physics "/>
    <s v="CW"/>
    <n v="100"/>
    <x v="0"/>
    <s v="Reflective Statement"/>
    <n v="4"/>
    <x v="0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17"/>
    <s v="Observational Techniques in Astronomy "/>
    <s v="LB"/>
    <n v="100"/>
    <x v="0"/>
    <s v="Lab Diaries"/>
    <n v="2"/>
    <x v="1"/>
    <n v="6"/>
    <m/>
    <m/>
    <m/>
    <n v="0.1"/>
    <m/>
    <m/>
    <m/>
    <m/>
    <m/>
    <m/>
    <n v="0.1"/>
    <m/>
    <m/>
    <m/>
    <n v="0.1"/>
    <m/>
    <n v="0.1"/>
    <m/>
    <m/>
    <m/>
    <m/>
    <m/>
    <m/>
    <m/>
    <n v="0.4"/>
  </r>
  <r>
    <x v="17"/>
    <s v="Observational Techniques in Astronomy "/>
    <s v="CW"/>
    <n v="100"/>
    <x v="0"/>
    <s v="Data Analysis"/>
    <n v="2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17"/>
    <s v="Observational Techniques in Astronomy "/>
    <s v="CW"/>
    <n v="100"/>
    <x v="0"/>
    <s v="Proposal"/>
    <n v="3"/>
    <x v="6"/>
    <n v="10"/>
    <m/>
    <m/>
    <m/>
    <m/>
    <m/>
    <m/>
    <m/>
    <m/>
    <n v="0.2"/>
    <m/>
    <m/>
    <m/>
    <m/>
    <m/>
    <m/>
    <m/>
    <m/>
    <m/>
    <m/>
    <m/>
    <m/>
    <m/>
    <m/>
    <m/>
    <n v="0.2"/>
  </r>
  <r>
    <x v="17"/>
    <s v="Observational Techniques in Astronomy "/>
    <s v="CW"/>
    <n v="100"/>
    <x v="0"/>
    <s v="Project"/>
    <n v="6"/>
    <x v="18"/>
    <m/>
    <m/>
    <m/>
    <m/>
    <m/>
    <m/>
    <m/>
    <m/>
    <m/>
    <m/>
    <m/>
    <m/>
    <m/>
    <m/>
    <m/>
    <m/>
    <m/>
    <m/>
    <m/>
    <m/>
    <m/>
    <m/>
    <m/>
    <n v="0.3"/>
    <m/>
    <n v="0.3"/>
  </r>
  <r>
    <x v="18"/>
    <s v="Thermal and Statistical Physics 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18"/>
    <s v="Thermal and Statistical Physics "/>
    <s v="CW"/>
    <n v="30"/>
    <x v="0"/>
    <m/>
    <n v="3"/>
    <x v="1"/>
    <n v="15"/>
    <m/>
    <m/>
    <m/>
    <m/>
    <m/>
    <m/>
    <m/>
    <m/>
    <m/>
    <m/>
    <m/>
    <m/>
    <m/>
    <m/>
    <m/>
    <m/>
    <n v="0.1"/>
    <m/>
    <m/>
    <n v="0.1"/>
    <m/>
    <m/>
    <m/>
    <m/>
    <n v="0.2"/>
  </r>
  <r>
    <x v="19"/>
    <s v="Optics"/>
    <s v="LB"/>
    <n v="35"/>
    <x v="1"/>
    <s v="Weekly workshops"/>
    <n v="1"/>
    <x v="19"/>
    <m/>
    <m/>
    <m/>
    <m/>
    <m/>
    <m/>
    <m/>
    <m/>
    <m/>
    <m/>
    <m/>
    <m/>
    <m/>
    <m/>
    <m/>
    <m/>
    <n v="0.05"/>
    <m/>
    <n v="0.05"/>
    <m/>
    <m/>
    <n v="0.05"/>
    <m/>
    <m/>
    <m/>
    <n v="0.15000000000000002"/>
  </r>
  <r>
    <x v="19"/>
    <s v="Optics"/>
    <s v="CT"/>
    <n v="35"/>
    <x v="1"/>
    <s v="Collaborative exam"/>
    <n v="1"/>
    <x v="0"/>
    <n v="1"/>
    <m/>
    <m/>
    <m/>
    <m/>
    <m/>
    <m/>
    <m/>
    <m/>
    <m/>
    <m/>
    <m/>
    <m/>
    <m/>
    <m/>
    <m/>
    <m/>
    <m/>
    <m/>
    <n v="0.1"/>
    <m/>
    <m/>
    <n v="0.1"/>
    <m/>
    <m/>
    <n v="0.2"/>
  </r>
  <r>
    <x v="20"/>
    <s v="Introduction to Condensed Matter Physics"/>
    <s v="QU"/>
    <n v="30"/>
    <x v="1"/>
    <s v="Weekly Quizzes"/>
    <n v="1"/>
    <x v="20"/>
    <n v="0.5"/>
    <m/>
    <m/>
    <m/>
    <m/>
    <m/>
    <m/>
    <m/>
    <m/>
    <m/>
    <m/>
    <m/>
    <m/>
    <m/>
    <n v="0.03"/>
    <n v="0.03"/>
    <n v="0.03"/>
    <n v="0.03"/>
    <n v="0.03"/>
    <n v="0.03"/>
    <n v="0.03"/>
    <n v="0.03"/>
    <n v="0.03"/>
    <n v="0.03"/>
    <m/>
    <n v="0.30000000000000004"/>
  </r>
  <r>
    <x v="21"/>
    <s v="Nuclear Medicine"/>
    <s v="CW"/>
    <n v="20"/>
    <x v="1"/>
    <m/>
    <n v="4"/>
    <x v="0"/>
    <m/>
    <m/>
    <m/>
    <m/>
    <m/>
    <m/>
    <m/>
    <m/>
    <m/>
    <m/>
    <m/>
    <m/>
    <m/>
    <m/>
    <m/>
    <m/>
    <m/>
    <m/>
    <n v="0.1"/>
    <m/>
    <m/>
    <m/>
    <m/>
    <m/>
    <m/>
    <n v="0.1"/>
  </r>
  <r>
    <x v="21"/>
    <s v="Nuclear Medicine"/>
    <s v="PR"/>
    <n v="20"/>
    <x v="1"/>
    <m/>
    <n v="4"/>
    <x v="0"/>
    <m/>
    <m/>
    <m/>
    <m/>
    <m/>
    <m/>
    <m/>
    <m/>
    <m/>
    <m/>
    <m/>
    <m/>
    <m/>
    <m/>
    <m/>
    <m/>
    <m/>
    <m/>
    <m/>
    <m/>
    <m/>
    <m/>
    <m/>
    <m/>
    <n v="0.1"/>
    <n v="0.1"/>
  </r>
  <r>
    <x v="22"/>
    <s v="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2"/>
    <s v="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2"/>
    <s v="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2"/>
    <s v="Physics in Action: Real-world problem solving"/>
    <s v="PR"/>
    <n v="100"/>
    <x v="1"/>
    <s v="Presentation"/>
    <n v="9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3"/>
    <s v="Astro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3"/>
    <s v="Astrophysics in Action: Real-world problem solving"/>
    <s v="PR"/>
    <n v="100"/>
    <x v="1"/>
    <s v="Presentation"/>
    <n v="1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4"/>
    <s v="Atomic and Nuclear Physics"/>
    <s v="QU"/>
    <n v="40"/>
    <x v="0"/>
    <s v="Weekly Quizzes"/>
    <n v="1"/>
    <x v="22"/>
    <n v="0.5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CA"/>
    <n v="4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Video"/>
    <n v="4"/>
    <x v="6"/>
    <n v="20"/>
    <m/>
    <m/>
    <m/>
    <m/>
    <m/>
    <m/>
    <m/>
    <m/>
    <m/>
    <n v="0.2"/>
    <m/>
    <m/>
    <m/>
    <m/>
    <m/>
    <m/>
    <m/>
    <m/>
    <m/>
    <m/>
    <m/>
    <m/>
    <m/>
    <m/>
    <n v="0.2"/>
  </r>
  <r>
    <x v="25"/>
    <s v="Condensed Matter Physics"/>
    <s v="QU"/>
    <n v="30"/>
    <x v="1"/>
    <s v="Weekly Quizzes"/>
    <n v="1"/>
    <x v="20"/>
    <n v="0.5"/>
    <m/>
    <n v="0.03"/>
    <n v="0.03"/>
    <n v="0.03"/>
    <n v="0.03"/>
    <n v="0.03"/>
    <n v="0.03"/>
    <n v="0.03"/>
    <n v="0.03"/>
    <n v="0.03"/>
    <n v="0.03"/>
    <m/>
    <m/>
    <m/>
    <m/>
    <m/>
    <m/>
    <m/>
    <m/>
    <m/>
    <m/>
    <m/>
    <m/>
    <m/>
    <n v="0.30000000000000004"/>
  </r>
  <r>
    <x v="26"/>
    <s v="Computational Physics"/>
    <s v="QU"/>
    <n v="100"/>
    <x v="1"/>
    <s v="Weekly quizzez"/>
    <n v="1"/>
    <x v="11"/>
    <n v="0.5"/>
    <m/>
    <m/>
    <n v="2.8571428571428574E-2"/>
    <n v="2.8571428571428574E-2"/>
    <n v="2.8571428571428574E-2"/>
    <n v="2.8571428571428574E-2"/>
    <m/>
    <n v="2.8571428571428574E-2"/>
    <n v="2.8571428571428574E-2"/>
    <n v="2.8571428571428574E-2"/>
    <m/>
    <m/>
    <m/>
    <m/>
    <m/>
    <m/>
    <m/>
    <m/>
    <m/>
    <m/>
    <m/>
    <m/>
    <m/>
    <m/>
    <n v="0.20000000000000004"/>
  </r>
  <r>
    <x v="26"/>
    <s v="Computational Physics"/>
    <s v="CW"/>
    <n v="100"/>
    <x v="1"/>
    <s v="CA"/>
    <n v="4"/>
    <x v="6"/>
    <n v="20"/>
    <m/>
    <m/>
    <m/>
    <m/>
    <m/>
    <m/>
    <n v="0.35"/>
    <m/>
    <m/>
    <m/>
    <n v="0.45"/>
    <m/>
    <m/>
    <m/>
    <m/>
    <m/>
    <m/>
    <m/>
    <m/>
    <m/>
    <m/>
    <m/>
    <m/>
    <m/>
    <n v="0.8"/>
  </r>
  <r>
    <x v="27"/>
    <s v="Formation and Evolution of Stars"/>
    <s v="CW"/>
    <n v="20"/>
    <x v="1"/>
    <s v="CA"/>
    <n v="4"/>
    <x v="1"/>
    <m/>
    <m/>
    <m/>
    <m/>
    <m/>
    <m/>
    <n v="0.2"/>
    <m/>
    <m/>
    <m/>
    <m/>
    <m/>
    <m/>
    <m/>
    <m/>
    <m/>
    <m/>
    <m/>
    <m/>
    <m/>
    <m/>
    <m/>
    <m/>
    <m/>
    <m/>
    <n v="0.2"/>
  </r>
  <r>
    <x v="28"/>
    <s v="Large Molecules and Life"/>
    <s v="CW"/>
    <n v="30"/>
    <x v="1"/>
    <s v="CA"/>
    <n v="6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28"/>
    <s v="Large Molecules and Life"/>
    <s v="PR"/>
    <n v="30"/>
    <x v="1"/>
    <s v="Presentation"/>
    <n v="2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29"/>
    <s v="Environmental Physics"/>
    <s v="CW"/>
    <n v="100"/>
    <x v="1"/>
    <s v="Reports"/>
    <n v="1"/>
    <x v="23"/>
    <m/>
    <m/>
    <m/>
    <n v="0.17499999999999999"/>
    <n v="0.17499999999999999"/>
    <n v="0.17499999999999999"/>
    <n v="0.17499999999999999"/>
    <m/>
    <m/>
    <m/>
    <m/>
    <m/>
    <m/>
    <m/>
    <m/>
    <m/>
    <m/>
    <m/>
    <m/>
    <m/>
    <m/>
    <m/>
    <m/>
    <m/>
    <m/>
    <n v="0.7"/>
  </r>
  <r>
    <x v="29"/>
    <s v="Environmental Physics"/>
    <s v="QU"/>
    <n v="100"/>
    <x v="1"/>
    <s v="Weekly Quizzes"/>
    <n v="1"/>
    <x v="0"/>
    <n v="0.5"/>
    <m/>
    <m/>
    <m/>
    <m/>
    <n v="0.1"/>
    <m/>
    <m/>
    <m/>
    <m/>
    <m/>
    <m/>
    <m/>
    <m/>
    <m/>
    <m/>
    <m/>
    <m/>
    <m/>
    <m/>
    <m/>
    <m/>
    <m/>
    <m/>
    <m/>
    <n v="0.1"/>
  </r>
  <r>
    <x v="29"/>
    <s v="Environmental Physics"/>
    <s v="PR"/>
    <n v="100"/>
    <x v="1"/>
    <s v="Presentation"/>
    <n v="5"/>
    <x v="1"/>
    <n v="15"/>
    <m/>
    <m/>
    <m/>
    <m/>
    <m/>
    <m/>
    <m/>
    <m/>
    <m/>
    <m/>
    <n v="0.2"/>
    <m/>
    <m/>
    <m/>
    <m/>
    <m/>
    <m/>
    <m/>
    <m/>
    <m/>
    <m/>
    <m/>
    <m/>
    <m/>
    <n v="0.2"/>
  </r>
  <r>
    <x v="30"/>
    <s v="Introduction to Magnetic Resonance Imaging"/>
    <s v="QU"/>
    <n v="100"/>
    <x v="1"/>
    <s v="Weekly Quizzes"/>
    <n v="1"/>
    <x v="24"/>
    <n v="0.5"/>
    <m/>
    <n v="2.5000000000000001E-2"/>
    <n v="2.5000000000000001E-2"/>
    <n v="2.5000000000000001E-2"/>
    <n v="2.5000000000000001E-2"/>
    <m/>
    <n v="2.5000000000000001E-2"/>
    <n v="2.5000000000000001E-2"/>
    <n v="2.5000000000000001E-2"/>
    <m/>
    <n v="2.5000000000000001E-2"/>
    <m/>
    <m/>
    <m/>
    <m/>
    <m/>
    <m/>
    <m/>
    <m/>
    <m/>
    <m/>
    <m/>
    <m/>
    <m/>
    <n v="0.19999999999999998"/>
  </r>
  <r>
    <x v="30"/>
    <s v="Introduction to Magnetic Resonance Imaging"/>
    <s v="CW"/>
    <n v="100"/>
    <x v="1"/>
    <m/>
    <n v="4"/>
    <x v="6"/>
    <n v="20"/>
    <m/>
    <m/>
    <m/>
    <m/>
    <m/>
    <n v="0.35"/>
    <m/>
    <m/>
    <m/>
    <n v="0.45"/>
    <m/>
    <m/>
    <m/>
    <m/>
    <m/>
    <m/>
    <m/>
    <m/>
    <m/>
    <m/>
    <m/>
    <m/>
    <m/>
    <m/>
    <n v="0.8"/>
  </r>
  <r>
    <x v="31"/>
    <s v="Galaxies and Galaxy Evolution"/>
    <s v="QU"/>
    <n v="3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31"/>
    <s v="Galaxies and Galaxy Evolution"/>
    <s v="CW"/>
    <n v="30"/>
    <x v="1"/>
    <s v="CA"/>
    <n v="4"/>
    <x v="1"/>
    <m/>
    <m/>
    <m/>
    <m/>
    <m/>
    <m/>
    <m/>
    <m/>
    <m/>
    <m/>
    <m/>
    <n v="0.2"/>
    <m/>
    <m/>
    <m/>
    <m/>
    <m/>
    <m/>
    <m/>
    <m/>
    <m/>
    <m/>
    <m/>
    <m/>
    <m/>
    <n v="0.2"/>
  </r>
  <r>
    <x v="32"/>
    <s v="Theoretical Physics"/>
    <s v="QU"/>
    <n v="40"/>
    <x v="1"/>
    <s v="Weekly Quizzes"/>
    <n v="1"/>
    <x v="26"/>
    <n v="0.5"/>
    <n v="0.04"/>
    <m/>
    <n v="0.04"/>
    <n v="0.04"/>
    <n v="0.04"/>
    <n v="0.04"/>
    <n v="0.04"/>
    <n v="0.04"/>
    <n v="0.04"/>
    <n v="0.04"/>
    <n v="0.04"/>
    <m/>
    <m/>
    <m/>
    <m/>
    <m/>
    <m/>
    <m/>
    <m/>
    <m/>
    <m/>
    <m/>
    <m/>
    <m/>
    <n v="0.39999999999999997"/>
  </r>
  <r>
    <x v="33"/>
    <s v="Science Communication"/>
    <s v="PR"/>
    <n v="100"/>
    <x v="1"/>
    <s v="3min Presentation"/>
    <n v="2"/>
    <x v="7"/>
    <n v="15"/>
    <m/>
    <m/>
    <m/>
    <n v="0.25"/>
    <m/>
    <m/>
    <m/>
    <m/>
    <m/>
    <m/>
    <m/>
    <m/>
    <m/>
    <m/>
    <m/>
    <m/>
    <m/>
    <m/>
    <m/>
    <m/>
    <m/>
    <m/>
    <m/>
    <m/>
    <n v="0.25"/>
  </r>
  <r>
    <x v="33"/>
    <s v="Science Communication"/>
    <s v="PR"/>
    <n v="100"/>
    <x v="1"/>
    <s v="Group Presentation"/>
    <n v="4"/>
    <x v="7"/>
    <n v="15"/>
    <m/>
    <m/>
    <m/>
    <m/>
    <m/>
    <m/>
    <m/>
    <m/>
    <m/>
    <m/>
    <n v="0.25"/>
    <m/>
    <m/>
    <m/>
    <m/>
    <m/>
    <m/>
    <m/>
    <m/>
    <m/>
    <m/>
    <m/>
    <m/>
    <m/>
    <n v="0.25"/>
  </r>
  <r>
    <x v="33"/>
    <s v="Science Communication"/>
    <s v="CW"/>
    <n v="100"/>
    <x v="1"/>
    <s v="Written work"/>
    <n v="2"/>
    <x v="7"/>
    <n v="15"/>
    <m/>
    <m/>
    <m/>
    <m/>
    <m/>
    <m/>
    <m/>
    <n v="0.25"/>
    <m/>
    <m/>
    <m/>
    <m/>
    <m/>
    <m/>
    <m/>
    <m/>
    <m/>
    <m/>
    <m/>
    <m/>
    <m/>
    <m/>
    <m/>
    <m/>
    <n v="0.25"/>
  </r>
  <r>
    <x v="33"/>
    <s v="Science Communication"/>
    <s v="PO"/>
    <n v="100"/>
    <x v="1"/>
    <s v="Portfolio"/>
    <n v="11"/>
    <x v="7"/>
    <n v="10"/>
    <m/>
    <m/>
    <m/>
    <m/>
    <m/>
    <m/>
    <m/>
    <m/>
    <m/>
    <m/>
    <m/>
    <n v="0.25"/>
    <m/>
    <m/>
    <m/>
    <m/>
    <m/>
    <m/>
    <m/>
    <m/>
    <m/>
    <m/>
    <m/>
    <m/>
    <n v="0.25"/>
  </r>
  <r>
    <x v="34"/>
    <s v="Radiation Protection and Diagnostic Radiology Physics"/>
    <s v="CW"/>
    <n v="20"/>
    <x v="1"/>
    <s v="CA"/>
    <n v="4"/>
    <x v="0"/>
    <m/>
    <m/>
    <m/>
    <m/>
    <m/>
    <m/>
    <m/>
    <n v="0.1"/>
    <m/>
    <m/>
    <m/>
    <n v="0.1"/>
    <m/>
    <m/>
    <m/>
    <m/>
    <m/>
    <m/>
    <m/>
    <m/>
    <m/>
    <m/>
    <m/>
    <m/>
    <m/>
    <n v="0.2"/>
  </r>
  <r>
    <x v="35"/>
    <s v="Particle Physics and Special Relativity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35"/>
    <s v="Particle Physics and Special Relativity"/>
    <s v="CW"/>
    <n v="30"/>
    <x v="0"/>
    <s v="CA"/>
    <n v="3"/>
    <x v="27"/>
    <m/>
    <m/>
    <m/>
    <m/>
    <m/>
    <m/>
    <m/>
    <m/>
    <m/>
    <m/>
    <m/>
    <m/>
    <m/>
    <m/>
    <m/>
    <m/>
    <m/>
    <n v="0.08"/>
    <m/>
    <m/>
    <n v="0.06"/>
    <m/>
    <m/>
    <n v="0.06"/>
    <m/>
    <n v="0.2"/>
  </r>
  <r>
    <x v="36"/>
    <s v="Semiconductor Devices and Applications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m/>
    <m/>
    <n v="0.2"/>
    <m/>
    <m/>
    <n v="0.2"/>
  </r>
  <r>
    <x v="37"/>
    <s v="Laser Physics and Non-Linear Optics"/>
    <s v="CW"/>
    <n v="20"/>
    <x v="1"/>
    <s v="CA"/>
    <n v="4"/>
    <x v="28"/>
    <m/>
    <m/>
    <m/>
    <m/>
    <m/>
    <m/>
    <m/>
    <m/>
    <m/>
    <m/>
    <m/>
    <m/>
    <m/>
    <m/>
    <m/>
    <m/>
    <m/>
    <n v="0.04"/>
    <m/>
    <m/>
    <m/>
    <m/>
    <m/>
    <m/>
    <m/>
    <n v="0.04"/>
  </r>
  <r>
    <x v="37"/>
    <s v="Laser Physics and Non-Linear Optics"/>
    <s v="PR"/>
    <n v="20"/>
    <x v="1"/>
    <s v="Presentation"/>
    <n v="2"/>
    <x v="29"/>
    <n v="10"/>
    <m/>
    <m/>
    <m/>
    <m/>
    <m/>
    <m/>
    <m/>
    <m/>
    <m/>
    <m/>
    <m/>
    <m/>
    <m/>
    <m/>
    <m/>
    <m/>
    <m/>
    <m/>
    <n v="0.16"/>
    <m/>
    <m/>
    <m/>
    <m/>
    <m/>
    <n v="0.16"/>
  </r>
  <r>
    <x v="38"/>
    <s v="High-Energy Astrophysics"/>
    <s v="CW"/>
    <n v="50"/>
    <x v="1"/>
    <s v="CA"/>
    <n v="6"/>
    <x v="7"/>
    <n v="15"/>
    <m/>
    <m/>
    <m/>
    <m/>
    <m/>
    <m/>
    <m/>
    <m/>
    <m/>
    <m/>
    <m/>
    <m/>
    <m/>
    <m/>
    <m/>
    <m/>
    <m/>
    <m/>
    <m/>
    <m/>
    <n v="0.25"/>
    <m/>
    <m/>
    <m/>
    <n v="0.25"/>
  </r>
  <r>
    <x v="38"/>
    <s v="High-Energy Astrophysics"/>
    <s v="PR"/>
    <n v="50"/>
    <x v="1"/>
    <s v="Video"/>
    <n v="2"/>
    <x v="7"/>
    <n v="15"/>
    <m/>
    <m/>
    <m/>
    <m/>
    <m/>
    <m/>
    <m/>
    <m/>
    <m/>
    <m/>
    <m/>
    <m/>
    <m/>
    <m/>
    <m/>
    <m/>
    <m/>
    <m/>
    <m/>
    <m/>
    <m/>
    <m/>
    <n v="0.25"/>
    <m/>
    <n v="0.25"/>
  </r>
  <r>
    <x v="39"/>
    <s v="Statistical Mechanics"/>
    <s v="QU"/>
    <n v="50"/>
    <x v="1"/>
    <s v="Weekly Quizzes"/>
    <n v="1"/>
    <x v="30"/>
    <n v="0.5"/>
    <m/>
    <m/>
    <m/>
    <m/>
    <m/>
    <m/>
    <m/>
    <m/>
    <m/>
    <m/>
    <m/>
    <m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m/>
    <n v="0.10000000000000002"/>
  </r>
  <r>
    <x v="39"/>
    <s v="Statistical Mechanics"/>
    <s v="CW"/>
    <n v="50"/>
    <x v="1"/>
    <s v="CA"/>
    <n v="3"/>
    <x v="1"/>
    <m/>
    <m/>
    <m/>
    <m/>
    <m/>
    <m/>
    <m/>
    <m/>
    <m/>
    <m/>
    <m/>
    <m/>
    <m/>
    <m/>
    <m/>
    <m/>
    <m/>
    <m/>
    <m/>
    <n v="0.2"/>
    <m/>
    <m/>
    <m/>
    <n v="0.2"/>
    <m/>
    <n v="0.4"/>
  </r>
  <r>
    <x v="40"/>
    <s v="Commercialising Innovation"/>
    <s v="CW"/>
    <n v="100"/>
    <x v="1"/>
    <s v="Business case"/>
    <n v="11"/>
    <x v="31"/>
    <n v="30"/>
    <m/>
    <m/>
    <m/>
    <m/>
    <m/>
    <m/>
    <m/>
    <m/>
    <m/>
    <m/>
    <m/>
    <m/>
    <m/>
    <m/>
    <m/>
    <m/>
    <m/>
    <m/>
    <m/>
    <m/>
    <m/>
    <m/>
    <m/>
    <n v="0.64"/>
    <n v="0.64"/>
  </r>
  <r>
    <x v="40"/>
    <s v="Commercialising Innovation"/>
    <s v="PR"/>
    <n v="100"/>
    <x v="1"/>
    <s v="Presentation"/>
    <n v="11"/>
    <x v="29"/>
    <n v="15"/>
    <m/>
    <m/>
    <m/>
    <m/>
    <m/>
    <m/>
    <m/>
    <m/>
    <m/>
    <m/>
    <m/>
    <m/>
    <m/>
    <m/>
    <m/>
    <m/>
    <m/>
    <m/>
    <m/>
    <m/>
    <m/>
    <m/>
    <m/>
    <n v="0.16"/>
    <n v="0.16"/>
  </r>
  <r>
    <x v="40"/>
    <s v="Commercialising Innovation"/>
    <s v="CW"/>
    <n v="100"/>
    <x v="1"/>
    <s v="Reflective Statement"/>
    <n v="11"/>
    <x v="1"/>
    <n v="10"/>
    <m/>
    <m/>
    <m/>
    <m/>
    <m/>
    <m/>
    <m/>
    <m/>
    <m/>
    <m/>
    <m/>
    <m/>
    <m/>
    <m/>
    <m/>
    <m/>
    <m/>
    <m/>
    <m/>
    <m/>
    <m/>
    <m/>
    <m/>
    <n v="0.2"/>
    <n v="0.2"/>
  </r>
  <r>
    <x v="41"/>
    <s v="Cosmology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n v="0.2"/>
    <m/>
    <m/>
    <m/>
    <m/>
    <n v="0.2"/>
  </r>
  <r>
    <x v="42"/>
    <s v="Non-Ionising Radiation in Medicine"/>
    <s v="CW"/>
    <n v="20"/>
    <x v="1"/>
    <s v="CA"/>
    <n v="2"/>
    <x v="1"/>
    <m/>
    <m/>
    <m/>
    <m/>
    <m/>
    <m/>
    <m/>
    <m/>
    <m/>
    <m/>
    <m/>
    <m/>
    <m/>
    <m/>
    <m/>
    <n v="0.2"/>
    <m/>
    <m/>
    <m/>
    <m/>
    <m/>
    <m/>
    <m/>
    <m/>
    <m/>
    <n v="0.2"/>
  </r>
  <r>
    <x v="43"/>
    <s v="Radiotherapy"/>
    <s v="PR"/>
    <n v="20"/>
    <x v="1"/>
    <s v="Presentation"/>
    <n v="4"/>
    <x v="1"/>
    <n v="15"/>
    <m/>
    <m/>
    <m/>
    <m/>
    <m/>
    <m/>
    <m/>
    <m/>
    <m/>
    <m/>
    <m/>
    <m/>
    <m/>
    <m/>
    <m/>
    <m/>
    <n v="0.2"/>
    <m/>
    <m/>
    <m/>
    <m/>
    <m/>
    <m/>
    <m/>
    <n v="0.2"/>
  </r>
  <r>
    <x v="44"/>
    <s v="Physics Project"/>
    <s v="PO"/>
    <n v="100"/>
    <x v="2"/>
    <s v="Supervisor comment"/>
    <n v="6"/>
    <x v="10"/>
    <n v="30"/>
    <m/>
    <m/>
    <m/>
    <m/>
    <m/>
    <n v="0.1"/>
    <m/>
    <m/>
    <m/>
    <m/>
    <m/>
    <n v="0.1"/>
    <m/>
    <m/>
    <m/>
    <m/>
    <m/>
    <n v="0.1"/>
    <m/>
    <m/>
    <m/>
    <m/>
    <m/>
    <n v="0.1"/>
    <n v="0.4"/>
  </r>
  <r>
    <x v="44"/>
    <s v="Physics Project"/>
    <s v="PJ"/>
    <n v="100"/>
    <x v="2"/>
    <s v="Report"/>
    <n v="12"/>
    <x v="18"/>
    <n v="60"/>
    <m/>
    <m/>
    <m/>
    <m/>
    <m/>
    <m/>
    <m/>
    <m/>
    <m/>
    <m/>
    <m/>
    <n v="0.2"/>
    <m/>
    <m/>
    <m/>
    <m/>
    <m/>
    <m/>
    <m/>
    <m/>
    <m/>
    <m/>
    <m/>
    <n v="0.2"/>
    <n v="0.4"/>
  </r>
  <r>
    <x v="44"/>
    <s v="Physics Project"/>
    <s v="PR"/>
    <n v="100"/>
    <x v="2"/>
    <s v="Presentation"/>
    <n v="6"/>
    <x v="18"/>
    <n v="15"/>
    <m/>
    <m/>
    <m/>
    <m/>
    <m/>
    <m/>
    <m/>
    <m/>
    <m/>
    <m/>
    <m/>
    <m/>
    <m/>
    <m/>
    <m/>
    <m/>
    <m/>
    <m/>
    <m/>
    <m/>
    <m/>
    <m/>
    <n v="0.2"/>
    <m/>
    <n v="0.2"/>
  </r>
  <r>
    <x v="45"/>
    <s v="Large Molecules and Life"/>
    <s v="CW"/>
    <n v="30"/>
    <x v="1"/>
    <s v="CA"/>
    <n v="4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45"/>
    <s v="Large Molecules and Life"/>
    <s v="PR"/>
    <n v="30"/>
    <x v="1"/>
    <s v="Presentation"/>
    <n v="4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46"/>
    <s v="Introduction to General Relativity"/>
    <s v="QU"/>
    <n v="30"/>
    <x v="1"/>
    <s v="Weekly Quizzes"/>
    <n v="1"/>
    <x v="16"/>
    <n v="0.5"/>
    <m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n v="0.1"/>
  </r>
  <r>
    <x v="46"/>
    <s v="Introduction to General Relativity"/>
    <s v="CW"/>
    <n v="30"/>
    <x v="1"/>
    <s v="CA"/>
    <n v="4"/>
    <x v="1"/>
    <m/>
    <m/>
    <m/>
    <m/>
    <m/>
    <m/>
    <m/>
    <n v="0.2"/>
    <m/>
    <m/>
    <m/>
    <m/>
    <m/>
    <m/>
    <m/>
    <m/>
    <m/>
    <m/>
    <m/>
    <m/>
    <m/>
    <m/>
    <m/>
    <m/>
    <m/>
    <n v="0.2"/>
  </r>
  <r>
    <x v="47"/>
    <s v="Instrumentation for Astronomy"/>
    <s v="QU"/>
    <n v="50"/>
    <x v="1"/>
    <s v="Weekly Quizzes"/>
    <n v="1"/>
    <x v="32"/>
    <n v="0.5"/>
    <m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m/>
    <m/>
    <m/>
    <m/>
    <m/>
    <m/>
    <m/>
    <m/>
    <m/>
    <m/>
    <m/>
    <m/>
    <m/>
    <n v="4.9999999999999996E-2"/>
  </r>
  <r>
    <x v="47"/>
    <s v="Instrumentation for Astronomy"/>
    <s v="CW"/>
    <n v="50"/>
    <x v="1"/>
    <s v="CA"/>
    <n v="3"/>
    <x v="33"/>
    <m/>
    <m/>
    <m/>
    <m/>
    <m/>
    <m/>
    <m/>
    <m/>
    <m/>
    <n v="0.2"/>
    <m/>
    <n v="0.17499999999999999"/>
    <m/>
    <m/>
    <m/>
    <m/>
    <m/>
    <m/>
    <m/>
    <m/>
    <m/>
    <m/>
    <m/>
    <m/>
    <m/>
    <n v="0.375"/>
  </r>
  <r>
    <x v="47"/>
    <s v="Instrumentation for Astronomy"/>
    <s v="PR"/>
    <n v="50"/>
    <x v="1"/>
    <s v="Presentation"/>
    <n v="3"/>
    <x v="34"/>
    <m/>
    <m/>
    <m/>
    <m/>
    <m/>
    <m/>
    <m/>
    <n v="7.4999999999999997E-2"/>
    <m/>
    <m/>
    <m/>
    <m/>
    <m/>
    <m/>
    <m/>
    <m/>
    <m/>
    <m/>
    <m/>
    <m/>
    <m/>
    <m/>
    <m/>
    <m/>
    <m/>
    <n v="7.4999999999999997E-2"/>
  </r>
  <r>
    <x v="48"/>
    <s v="Compound Semiconductor Fabrication"/>
    <s v="PR"/>
    <n v="50"/>
    <x v="1"/>
    <s v="Presentation"/>
    <n v="2"/>
    <x v="7"/>
    <n v="15"/>
    <m/>
    <m/>
    <m/>
    <m/>
    <n v="0.25"/>
    <m/>
    <m/>
    <m/>
    <m/>
    <m/>
    <m/>
    <m/>
    <m/>
    <m/>
    <m/>
    <m/>
    <m/>
    <m/>
    <m/>
    <m/>
    <m/>
    <m/>
    <m/>
    <m/>
    <n v="0.25"/>
  </r>
  <r>
    <x v="48"/>
    <s v="Compound Semiconductor Fabrication"/>
    <s v="CW"/>
    <n v="50"/>
    <x v="1"/>
    <s v="CA"/>
    <n v="4"/>
    <x v="7"/>
    <m/>
    <m/>
    <m/>
    <m/>
    <m/>
    <m/>
    <m/>
    <m/>
    <m/>
    <n v="0.25"/>
    <m/>
    <m/>
    <m/>
    <m/>
    <m/>
    <m/>
    <m/>
    <m/>
    <m/>
    <m/>
    <m/>
    <m/>
    <m/>
    <m/>
    <m/>
    <n v="0.25"/>
  </r>
  <r>
    <x v="49"/>
    <s v="Modern Quantum Optics"/>
    <s v="QU"/>
    <n v="4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49"/>
    <s v="Modern Quantum Optics"/>
    <s v="CW"/>
    <n v="40"/>
    <x v="1"/>
    <s v="CA"/>
    <n v="6"/>
    <x v="10"/>
    <m/>
    <m/>
    <m/>
    <m/>
    <m/>
    <m/>
    <m/>
    <m/>
    <m/>
    <m/>
    <n v="0.3"/>
    <m/>
    <m/>
    <m/>
    <m/>
    <m/>
    <m/>
    <m/>
    <m/>
    <m/>
    <m/>
    <m/>
    <m/>
    <m/>
    <m/>
    <n v="0.3"/>
  </r>
  <r>
    <x v="50"/>
    <s v="Quantum Theory of Many-Particle Systems"/>
    <s v="QU"/>
    <n v="30"/>
    <x v="1"/>
    <s v="Weekly Quizzes"/>
    <n v="1"/>
    <x v="8"/>
    <n v="0.5"/>
    <m/>
    <m/>
    <n v="0.02"/>
    <n v="0.02"/>
    <n v="0.02"/>
    <n v="0.02"/>
    <n v="0.02"/>
    <m/>
    <n v="0.02"/>
    <n v="0.02"/>
    <n v="0.02"/>
    <m/>
    <m/>
    <m/>
    <m/>
    <m/>
    <m/>
    <m/>
    <m/>
    <m/>
    <m/>
    <m/>
    <m/>
    <m/>
    <n v="0.16"/>
  </r>
  <r>
    <x v="50"/>
    <s v="Quantum Theory of Many-Particle Systems"/>
    <s v="CW"/>
    <n v="30"/>
    <x v="1"/>
    <s v="CA"/>
    <n v="6"/>
    <x v="35"/>
    <m/>
    <m/>
    <m/>
    <m/>
    <m/>
    <m/>
    <m/>
    <m/>
    <n v="0.14000000000000001"/>
    <m/>
    <m/>
    <m/>
    <m/>
    <m/>
    <m/>
    <m/>
    <m/>
    <m/>
    <m/>
    <m/>
    <m/>
    <m/>
    <m/>
    <m/>
    <m/>
    <n v="0.14000000000000001"/>
  </r>
  <r>
    <x v="51"/>
    <s v="Data Science"/>
    <s v="QU"/>
    <n v="100"/>
    <x v="1"/>
    <s v="Weekly Quizzes"/>
    <n v="1"/>
    <x v="36"/>
    <n v="0.5"/>
    <n v="1.8749999999999999E-2"/>
    <n v="1.8749999999999999E-2"/>
    <n v="1.8749999999999999E-2"/>
    <n v="1.8749999999999999E-2"/>
    <n v="1.8749999999999999E-2"/>
    <n v="1.8749999999999999E-2"/>
    <n v="1.8749999999999999E-2"/>
    <m/>
    <n v="1.8749999999999999E-2"/>
    <m/>
    <m/>
    <m/>
    <m/>
    <m/>
    <m/>
    <m/>
    <m/>
    <m/>
    <m/>
    <m/>
    <m/>
    <m/>
    <m/>
    <m/>
    <n v="0.15"/>
  </r>
  <r>
    <x v="51"/>
    <s v="Data Science"/>
    <s v="CW"/>
    <n v="100"/>
    <x v="1"/>
    <m/>
    <n v="4"/>
    <x v="13"/>
    <m/>
    <m/>
    <m/>
    <m/>
    <m/>
    <m/>
    <n v="0.35"/>
    <m/>
    <m/>
    <m/>
    <m/>
    <m/>
    <m/>
    <m/>
    <m/>
    <m/>
    <m/>
    <m/>
    <m/>
    <m/>
    <m/>
    <m/>
    <m/>
    <m/>
    <m/>
    <n v="0.35"/>
  </r>
  <r>
    <x v="51"/>
    <s v="Data Science"/>
    <s v="PJ"/>
    <n v="100"/>
    <x v="1"/>
    <m/>
    <n v="4"/>
    <x v="37"/>
    <n v="25"/>
    <m/>
    <m/>
    <m/>
    <m/>
    <m/>
    <m/>
    <m/>
    <m/>
    <m/>
    <m/>
    <n v="0.5"/>
    <m/>
    <m/>
    <m/>
    <m/>
    <m/>
    <m/>
    <m/>
    <m/>
    <m/>
    <m/>
    <m/>
    <m/>
    <m/>
    <n v="0.5"/>
  </r>
  <r>
    <x v="52"/>
    <s v="Gravitational-wave Detectors"/>
    <s v="QU"/>
    <n v="5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52"/>
    <s v="Gravitational-wave Detectors"/>
    <s v="CW"/>
    <n v="50"/>
    <x v="1"/>
    <s v="CA"/>
    <n v="2"/>
    <x v="0"/>
    <m/>
    <m/>
    <m/>
    <n v="0.1"/>
    <m/>
    <n v="0.1"/>
    <m/>
    <n v="0.1"/>
    <m/>
    <m/>
    <n v="0.1"/>
    <m/>
    <m/>
    <m/>
    <m/>
    <m/>
    <m/>
    <m/>
    <m/>
    <m/>
    <m/>
    <m/>
    <m/>
    <m/>
    <m/>
    <n v="0.4"/>
  </r>
  <r>
    <x v="53"/>
    <s v="Low dimensional semiconductor devices"/>
    <s v="CW"/>
    <n v="20"/>
    <x v="1"/>
    <s v="CA"/>
    <n v="3"/>
    <x v="1"/>
    <m/>
    <m/>
    <m/>
    <m/>
    <m/>
    <m/>
    <m/>
    <m/>
    <m/>
    <m/>
    <m/>
    <m/>
    <m/>
    <m/>
    <m/>
    <m/>
    <n v="0.2"/>
    <m/>
    <m/>
    <m/>
    <m/>
    <m/>
    <m/>
    <m/>
    <m/>
    <n v="0.2"/>
  </r>
  <r>
    <x v="54"/>
    <s v="Advanced GR and Gravitational Waves"/>
    <s v="CW"/>
    <n v="40"/>
    <x v="1"/>
    <s v="CA"/>
    <n v="4"/>
    <x v="6"/>
    <m/>
    <m/>
    <m/>
    <m/>
    <m/>
    <m/>
    <m/>
    <m/>
    <m/>
    <m/>
    <m/>
    <m/>
    <m/>
    <m/>
    <m/>
    <m/>
    <m/>
    <m/>
    <m/>
    <n v="0.4"/>
    <m/>
    <m/>
    <m/>
    <m/>
    <m/>
    <n v="0.4"/>
  </r>
  <r>
    <x v="55"/>
    <s v="Physics and Reality"/>
    <s v="QU"/>
    <n v="6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5"/>
    <s v="Physics and Reality"/>
    <s v="CW"/>
    <n v="60"/>
    <x v="1"/>
    <s v="CA"/>
    <n v="3"/>
    <x v="0"/>
    <m/>
    <m/>
    <m/>
    <m/>
    <m/>
    <m/>
    <m/>
    <m/>
    <m/>
    <m/>
    <m/>
    <m/>
    <m/>
    <m/>
    <m/>
    <m/>
    <m/>
    <n v="0.1"/>
    <m/>
    <m/>
    <m/>
    <m/>
    <m/>
    <m/>
    <m/>
    <n v="0.1"/>
  </r>
  <r>
    <x v="55"/>
    <s v="Physics and Reality"/>
    <s v="PR"/>
    <n v="60"/>
    <x v="1"/>
    <s v="Presentation"/>
    <n v="2"/>
    <x v="10"/>
    <n v="15"/>
    <m/>
    <m/>
    <m/>
    <m/>
    <m/>
    <m/>
    <m/>
    <m/>
    <m/>
    <m/>
    <m/>
    <m/>
    <m/>
    <m/>
    <m/>
    <m/>
    <m/>
    <m/>
    <m/>
    <m/>
    <n v="0.3"/>
    <m/>
    <m/>
    <m/>
    <n v="0.3"/>
  </r>
  <r>
    <x v="56"/>
    <s v="Energy and Gas in Interstellar Space"/>
    <s v="QU"/>
    <n v="2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7"/>
    <s v="Observational Gravitational Wave Astronomy"/>
    <s v="CW"/>
    <n v="100"/>
    <x v="1"/>
    <m/>
    <n v="3"/>
    <x v="38"/>
    <m/>
    <m/>
    <m/>
    <m/>
    <m/>
    <m/>
    <m/>
    <m/>
    <m/>
    <m/>
    <m/>
    <m/>
    <m/>
    <m/>
    <m/>
    <m/>
    <m/>
    <m/>
    <m/>
    <n v="0.4"/>
    <m/>
    <m/>
    <n v="0.55000000000000004"/>
    <m/>
    <m/>
    <n v="0.95000000000000007"/>
  </r>
  <r>
    <x v="57"/>
    <s v="Observational Gravitational Wave Astronomy"/>
    <s v="PR"/>
    <n v="100"/>
    <x v="1"/>
    <m/>
    <n v="1"/>
    <x v="17"/>
    <m/>
    <m/>
    <m/>
    <m/>
    <m/>
    <m/>
    <m/>
    <m/>
    <m/>
    <m/>
    <m/>
    <m/>
    <m/>
    <m/>
    <m/>
    <m/>
    <m/>
    <m/>
    <m/>
    <m/>
    <m/>
    <m/>
    <m/>
    <n v="0.05"/>
    <m/>
    <n v="0.05"/>
  </r>
  <r>
    <x v="58"/>
    <s v="Advanced Particle Physics"/>
    <s v="QU"/>
    <n v="40"/>
    <x v="1"/>
    <s v="Weekly Quizzes"/>
    <n v="1"/>
    <x v="26"/>
    <n v="0.5"/>
    <m/>
    <m/>
    <m/>
    <m/>
    <m/>
    <m/>
    <m/>
    <m/>
    <m/>
    <m/>
    <m/>
    <m/>
    <m/>
    <n v="0.04"/>
    <n v="0.04"/>
    <n v="0.04"/>
    <n v="0.04"/>
    <n v="0.04"/>
    <n v="0.04"/>
    <n v="0.04"/>
    <n v="0.04"/>
    <n v="0.04"/>
    <n v="0.04"/>
    <m/>
    <n v="0.39999999999999997"/>
  </r>
  <r>
    <x v="59"/>
    <s v="Advanced Semiconductor Device Photonics"/>
    <s v="CW"/>
    <n v="100"/>
    <x v="1"/>
    <m/>
    <n v="4"/>
    <x v="37"/>
    <n v="25"/>
    <m/>
    <m/>
    <m/>
    <m/>
    <m/>
    <m/>
    <m/>
    <m/>
    <m/>
    <m/>
    <m/>
    <m/>
    <m/>
    <m/>
    <m/>
    <m/>
    <m/>
    <n v="0.4"/>
    <m/>
    <m/>
    <m/>
    <m/>
    <m/>
    <n v="0.6"/>
    <n v="1"/>
  </r>
  <r>
    <x v="60"/>
    <s v="Exoplanets and the Search for Life"/>
    <s v="CW"/>
    <n v="50"/>
    <x v="1"/>
    <s v="CA"/>
    <n v="3"/>
    <x v="39"/>
    <m/>
    <m/>
    <m/>
    <m/>
    <m/>
    <m/>
    <m/>
    <m/>
    <m/>
    <m/>
    <m/>
    <m/>
    <m/>
    <m/>
    <m/>
    <m/>
    <n v="0.1"/>
    <m/>
    <m/>
    <m/>
    <n v="0.2"/>
    <m/>
    <m/>
    <n v="0.2"/>
    <m/>
    <n v="0.5"/>
  </r>
  <r>
    <x v="61"/>
    <s v="Numerical Relativity and Waveform Modelling"/>
    <s v="CW"/>
    <n v="100"/>
    <x v="1"/>
    <m/>
    <n v="3"/>
    <x v="5"/>
    <m/>
    <m/>
    <m/>
    <m/>
    <m/>
    <m/>
    <m/>
    <m/>
    <m/>
    <m/>
    <m/>
    <m/>
    <m/>
    <m/>
    <m/>
    <m/>
    <n v="0.2"/>
    <m/>
    <m/>
    <m/>
    <n v="0.4"/>
    <m/>
    <m/>
    <n v="0.4"/>
    <m/>
    <n v="1"/>
  </r>
  <r>
    <x v="62"/>
    <s v="Techniques in Precision Measurement"/>
    <s v="CW"/>
    <n v="50"/>
    <x v="1"/>
    <s v="CA"/>
    <n v="3"/>
    <x v="27"/>
    <m/>
    <m/>
    <m/>
    <m/>
    <m/>
    <m/>
    <m/>
    <m/>
    <m/>
    <m/>
    <m/>
    <m/>
    <m/>
    <m/>
    <m/>
    <n v="0.13333333333333333"/>
    <m/>
    <m/>
    <n v="0.13333333333333333"/>
    <m/>
    <m/>
    <n v="0.13333333333333333"/>
    <m/>
    <m/>
    <m/>
    <n v="0.4"/>
  </r>
  <r>
    <x v="62"/>
    <s v="Techniques in Precision Measurement"/>
    <s v="QU"/>
    <n v="50"/>
    <x v="1"/>
    <s v="Weekly Quizzes"/>
    <n v="1"/>
    <x v="25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63"/>
    <s v="Physics Project"/>
    <s v="PO"/>
    <n v="100"/>
    <x v="3"/>
    <s v="Supervisor comment"/>
    <n v="6"/>
    <x v="40"/>
    <n v="30"/>
    <m/>
    <m/>
    <m/>
    <m/>
    <m/>
    <n v="6.25E-2"/>
    <m/>
    <m/>
    <m/>
    <m/>
    <m/>
    <n v="6.25E-2"/>
    <m/>
    <m/>
    <m/>
    <m/>
    <m/>
    <n v="6.25E-2"/>
    <m/>
    <m/>
    <m/>
    <m/>
    <m/>
    <n v="6.25E-2"/>
    <n v="0.25"/>
  </r>
  <r>
    <x v="63"/>
    <s v="Physics Project"/>
    <s v="LB"/>
    <n v="100"/>
    <x v="3"/>
    <s v="Gregynog"/>
    <n v="1"/>
    <x v="18"/>
    <n v="1"/>
    <m/>
    <m/>
    <m/>
    <m/>
    <m/>
    <m/>
    <m/>
    <m/>
    <m/>
    <m/>
    <m/>
    <m/>
    <n v="0.1"/>
    <m/>
    <m/>
    <m/>
    <m/>
    <m/>
    <m/>
    <m/>
    <m/>
    <m/>
    <m/>
    <m/>
    <n v="0.1"/>
  </r>
  <r>
    <x v="63"/>
    <s v="Physics Project"/>
    <s v="PJ"/>
    <n v="100"/>
    <x v="3"/>
    <s v="Project"/>
    <n v="12"/>
    <x v="41"/>
    <n v="120"/>
    <m/>
    <m/>
    <m/>
    <m/>
    <m/>
    <m/>
    <m/>
    <m/>
    <m/>
    <m/>
    <m/>
    <n v="0.2"/>
    <m/>
    <m/>
    <m/>
    <m/>
    <m/>
    <m/>
    <m/>
    <m/>
    <m/>
    <m/>
    <m/>
    <n v="0.2"/>
    <n v="0.4"/>
  </r>
  <r>
    <x v="63"/>
    <s v="Physics Project"/>
    <s v="PR"/>
    <n v="100"/>
    <x v="3"/>
    <s v="Presentation"/>
    <n v="6"/>
    <x v="41"/>
    <n v="15"/>
    <m/>
    <m/>
    <m/>
    <m/>
    <m/>
    <m/>
    <m/>
    <m/>
    <m/>
    <m/>
    <m/>
    <m/>
    <m/>
    <m/>
    <m/>
    <m/>
    <m/>
    <m/>
    <m/>
    <m/>
    <m/>
    <m/>
    <m/>
    <n v="0.2"/>
    <n v="0.2"/>
  </r>
  <r>
    <x v="63"/>
    <s v="Physics Project"/>
    <s v="OA"/>
    <n v="100"/>
    <x v="3"/>
    <s v="Viva"/>
    <n v="1"/>
    <x v="10"/>
    <n v="1"/>
    <m/>
    <m/>
    <m/>
    <m/>
    <m/>
    <m/>
    <m/>
    <m/>
    <m/>
    <m/>
    <m/>
    <m/>
    <m/>
    <m/>
    <m/>
    <m/>
    <m/>
    <m/>
    <m/>
    <m/>
    <m/>
    <m/>
    <m/>
    <n v="0.05"/>
    <n v="0.05"/>
  </r>
  <r>
    <x v="64"/>
    <s v="Advanced Techniques in Physics and Astrophysics"/>
    <s v="CW"/>
    <n v="100"/>
    <x v="0"/>
    <m/>
    <n v="2"/>
    <x v="1"/>
    <m/>
    <m/>
    <m/>
    <n v="0.1"/>
    <m/>
    <m/>
    <m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CW"/>
    <n v="100"/>
    <x v="0"/>
    <m/>
    <n v="4"/>
    <x v="18"/>
    <m/>
    <m/>
    <m/>
    <m/>
    <m/>
    <n v="0.3"/>
    <m/>
    <m/>
    <m/>
    <m/>
    <m/>
    <m/>
    <m/>
    <m/>
    <m/>
    <m/>
    <m/>
    <m/>
    <m/>
    <m/>
    <m/>
    <m/>
    <m/>
    <m/>
    <m/>
    <n v="0.3"/>
  </r>
  <r>
    <x v="64"/>
    <s v="Advanced Techniques in Physics and Astrophysics"/>
    <s v="CW"/>
    <n v="100"/>
    <x v="0"/>
    <m/>
    <n v="3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PJ"/>
    <n v="100"/>
    <x v="0"/>
    <m/>
    <n v="6"/>
    <x v="18"/>
    <m/>
    <m/>
    <m/>
    <m/>
    <m/>
    <m/>
    <m/>
    <m/>
    <m/>
    <m/>
    <m/>
    <n v="0.3"/>
    <m/>
    <m/>
    <m/>
    <m/>
    <m/>
    <m/>
    <m/>
    <m/>
    <m/>
    <m/>
    <m/>
    <m/>
    <m/>
    <n v="0.3"/>
  </r>
  <r>
    <x v="64"/>
    <s v="Advanced Techniques in Physics and Astrophysics"/>
    <s v="PO"/>
    <n v="100"/>
    <x v="0"/>
    <m/>
    <n v="6"/>
    <x v="6"/>
    <m/>
    <m/>
    <m/>
    <m/>
    <m/>
    <m/>
    <m/>
    <m/>
    <m/>
    <m/>
    <m/>
    <n v="0.2"/>
    <m/>
    <m/>
    <m/>
    <m/>
    <m/>
    <m/>
    <m/>
    <m/>
    <m/>
    <m/>
    <m/>
    <m/>
    <m/>
    <n v="0.2"/>
  </r>
  <r>
    <x v="65"/>
    <s v="Advanced Study and Research Skills"/>
    <s v="CW"/>
    <n v="100"/>
    <x v="0"/>
    <m/>
    <n v="3"/>
    <x v="1"/>
    <m/>
    <m/>
    <m/>
    <m/>
    <m/>
    <m/>
    <m/>
    <m/>
    <m/>
    <m/>
    <m/>
    <m/>
    <m/>
    <m/>
    <m/>
    <n v="0.1"/>
    <m/>
    <m/>
    <m/>
    <m/>
    <m/>
    <m/>
    <m/>
    <m/>
    <m/>
    <n v="0.1"/>
  </r>
  <r>
    <x v="65"/>
    <s v="Advanced Study and Research Skills"/>
    <s v="PJ"/>
    <n v="100"/>
    <x v="0"/>
    <m/>
    <n v="7"/>
    <x v="18"/>
    <m/>
    <m/>
    <m/>
    <m/>
    <m/>
    <m/>
    <m/>
    <m/>
    <m/>
    <m/>
    <m/>
    <m/>
    <m/>
    <m/>
    <m/>
    <m/>
    <m/>
    <m/>
    <m/>
    <n v="0.3"/>
    <m/>
    <m/>
    <m/>
    <m/>
    <m/>
    <n v="0.3"/>
  </r>
  <r>
    <x v="65"/>
    <s v="Advanced Study and Research Skills"/>
    <s v="PO"/>
    <n v="100"/>
    <x v="0"/>
    <m/>
    <n v="11"/>
    <x v="6"/>
    <m/>
    <m/>
    <m/>
    <m/>
    <m/>
    <m/>
    <m/>
    <m/>
    <m/>
    <m/>
    <m/>
    <m/>
    <m/>
    <m/>
    <m/>
    <m/>
    <m/>
    <m/>
    <m/>
    <m/>
    <m/>
    <m/>
    <m/>
    <n v="0.2"/>
    <m/>
    <n v="0.2"/>
  </r>
  <r>
    <x v="65"/>
    <s v="Advanced Study and Research Skills"/>
    <s v="PJ"/>
    <n v="100"/>
    <x v="0"/>
    <m/>
    <n v="6"/>
    <x v="42"/>
    <m/>
    <m/>
    <m/>
    <m/>
    <m/>
    <m/>
    <m/>
    <m/>
    <m/>
    <m/>
    <m/>
    <m/>
    <m/>
    <m/>
    <m/>
    <m/>
    <m/>
    <m/>
    <m/>
    <m/>
    <m/>
    <m/>
    <m/>
    <m/>
    <n v="0.4"/>
    <n v="0.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344565-A902-475D-ACD8-7DA2FB255CBD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70" firstHeaderRow="1" firstDataRow="1" firstDataCol="2"/>
  <pivotFields count="34">
    <pivotField axis="axisRow" compact="0" outline="0" showAll="0" defaultSubtotal="0">
      <items count="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</pivotField>
    <pivotField compact="0" outline="0" showAll="0" defaultSubtotal="0"/>
    <pivotField compact="0" outline="0" showAll="0" defaultSubtotal="0"/>
    <pivotField compact="0" numFmtId="1" outline="0" showAll="0" defaultSubtotal="0"/>
    <pivotField axis="axisRow" compact="0" numFmtId="1" outline="0" showAll="0" defaultSubtotal="0">
      <items count="4">
        <item x="1"/>
        <item x="0"/>
        <item x="2"/>
        <item x="3"/>
      </items>
    </pivotField>
    <pivotField compact="0" outline="0" showAll="0" defaultSubtotal="0"/>
    <pivotField compact="0" outline="0" showAll="0" defaultSubtotal="0"/>
    <pivotField compact="0" outline="0" showAll="0" defaultSubtotal="0">
      <items count="43">
        <item x="32"/>
        <item x="30"/>
        <item x="25"/>
        <item x="16"/>
        <item x="36"/>
        <item x="9"/>
        <item x="8"/>
        <item x="22"/>
        <item x="24"/>
        <item x="11"/>
        <item x="20"/>
        <item x="26"/>
        <item x="28"/>
        <item x="2"/>
        <item x="17"/>
        <item x="19"/>
        <item x="34"/>
        <item x="21"/>
        <item x="0"/>
        <item x="3"/>
        <item x="27"/>
        <item x="35"/>
        <item x="15"/>
        <item x="29"/>
        <item x="39"/>
        <item x="23"/>
        <item x="12"/>
        <item x="33"/>
        <item x="1"/>
        <item x="4"/>
        <item x="7"/>
        <item x="14"/>
        <item x="10"/>
        <item x="5"/>
        <item x="13"/>
        <item x="40"/>
        <item x="6"/>
        <item x="38"/>
        <item x="37"/>
        <item x="18"/>
        <item x="31"/>
        <item x="42"/>
        <item x="4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4" outline="0" showAll="0" defaultSubtotal="0"/>
  </pivotFields>
  <rowFields count="2">
    <field x="0"/>
    <field x="4"/>
  </rowFields>
  <rowItems count="67">
    <i>
      <x/>
      <x v="1"/>
    </i>
    <i>
      <x v="1"/>
      <x v="1"/>
    </i>
    <i>
      <x v="2"/>
      <x/>
    </i>
    <i>
      <x v="3"/>
      <x v="1"/>
    </i>
    <i>
      <x v="4"/>
      <x v="1"/>
    </i>
    <i>
      <x v="5"/>
      <x/>
    </i>
    <i>
      <x v="6"/>
      <x/>
    </i>
    <i>
      <x v="7"/>
      <x/>
    </i>
    <i>
      <x v="8"/>
      <x/>
    </i>
    <i>
      <x v="9"/>
      <x v="1"/>
    </i>
    <i>
      <x v="10"/>
      <x/>
    </i>
    <i>
      <x v="11"/>
      <x/>
    </i>
    <i>
      <x v="12"/>
      <x/>
    </i>
    <i>
      <x v="13"/>
      <x/>
    </i>
    <i>
      <x v="14"/>
      <x/>
    </i>
    <i>
      <x v="15"/>
      <x/>
    </i>
    <i>
      <x v="16"/>
      <x v="1"/>
    </i>
    <i>
      <x v="17"/>
      <x v="1"/>
    </i>
    <i>
      <x v="18"/>
      <x v="1"/>
    </i>
    <i>
      <x v="19"/>
      <x/>
    </i>
    <i>
      <x v="20"/>
      <x/>
    </i>
    <i>
      <x v="21"/>
      <x/>
    </i>
    <i>
      <x v="22"/>
      <x/>
    </i>
    <i>
      <x v="23"/>
      <x/>
    </i>
    <i>
      <x v="24"/>
      <x v="1"/>
    </i>
    <i>
      <x v="25"/>
      <x/>
    </i>
    <i>
      <x v="26"/>
      <x/>
    </i>
    <i>
      <x v="27"/>
      <x/>
    </i>
    <i>
      <x v="28"/>
      <x/>
    </i>
    <i>
      <x v="29"/>
      <x/>
    </i>
    <i>
      <x v="30"/>
      <x/>
    </i>
    <i>
      <x v="31"/>
      <x/>
    </i>
    <i>
      <x v="32"/>
      <x/>
    </i>
    <i>
      <x v="33"/>
      <x/>
    </i>
    <i>
      <x v="34"/>
      <x/>
    </i>
    <i>
      <x v="35"/>
      <x v="1"/>
    </i>
    <i>
      <x v="36"/>
      <x/>
    </i>
    <i>
      <x v="37"/>
      <x/>
    </i>
    <i>
      <x v="38"/>
      <x/>
    </i>
    <i>
      <x v="39"/>
      <x/>
    </i>
    <i>
      <x v="40"/>
      <x/>
    </i>
    <i>
      <x v="41"/>
      <x/>
    </i>
    <i>
      <x v="42"/>
      <x/>
    </i>
    <i>
      <x v="43"/>
      <x/>
    </i>
    <i>
      <x v="44"/>
      <x v="2"/>
    </i>
    <i>
      <x v="45"/>
      <x/>
    </i>
    <i>
      <x v="46"/>
      <x/>
    </i>
    <i>
      <x v="47"/>
      <x/>
    </i>
    <i>
      <x v="48"/>
      <x/>
    </i>
    <i>
      <x v="49"/>
      <x/>
    </i>
    <i>
      <x v="50"/>
      <x/>
    </i>
    <i>
      <x v="51"/>
      <x/>
    </i>
    <i>
      <x v="52"/>
      <x/>
    </i>
    <i>
      <x v="53"/>
      <x/>
    </i>
    <i>
      <x v="54"/>
      <x/>
    </i>
    <i>
      <x v="55"/>
      <x/>
    </i>
    <i>
      <x v="56"/>
      <x/>
    </i>
    <i>
      <x v="57"/>
      <x/>
    </i>
    <i>
      <x v="58"/>
      <x/>
    </i>
    <i>
      <x v="59"/>
      <x/>
    </i>
    <i>
      <x v="60"/>
      <x/>
    </i>
    <i>
      <x v="61"/>
      <x/>
    </i>
    <i>
      <x v="62"/>
      <x/>
    </i>
    <i>
      <x v="63"/>
      <x v="3"/>
    </i>
    <i>
      <x v="64"/>
      <x v="1"/>
    </i>
    <i>
      <x v="65"/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69A777-C149-48BD-B248-35F32F0AC920}" name="Table1" displayName="Table1" ref="A1:AL177" totalsRowShown="0" headerRowDxfId="100" dataDxfId="98" headerRowBorderDxfId="99" tableBorderDxfId="97" totalsRowBorderDxfId="96">
  <autoFilter ref="A1:AL177" xr:uid="{FA69A777-C149-48BD-B248-35F32F0AC920}"/>
  <sortState xmlns:xlrd2="http://schemas.microsoft.com/office/spreadsheetml/2017/richdata2" ref="A2:AI148">
    <sortCondition ref="A1:A148"/>
  </sortState>
  <tableColumns count="38">
    <tableColumn id="1" xr3:uid="{7078548A-F011-4851-AB36-1F04238FA2FE}" name="Module Code" dataDxfId="95"/>
    <tableColumn id="2" xr3:uid="{D2290F36-B8B3-427A-AEFE-45FD22901411}" name="Module Title" dataDxfId="94"/>
    <tableColumn id="3" xr3:uid="{31165455-2AA3-4532-A0A0-C942837C0F79}" name="CA type" dataDxfId="93"/>
    <tableColumn id="33" xr3:uid="{B83E0E3E-2B28-42F1-BC64-5D7177EC4229}" name="CA Weight" dataDxfId="92">
      <calculatedColumnFormula>INDEX([1]!Table2[CA weight],MATCH([1]!Table1[[#This Row],[Module Code]],[1]!Table2[Module Code],0))</calculatedColumnFormula>
    </tableColumn>
    <tableColumn id="34" xr3:uid="{AEA2048C-138D-450A-BE52-3FCBDE03C67D}" name="Credits" dataDxfId="91">
      <calculatedColumnFormula>INDEX([1]!Table2[Credits],MATCH([1]!Table1[[#This Row],[Module Code]],[1]!Table2[Module Code],0))</calculatedColumnFormula>
    </tableColumn>
    <tableColumn id="30" xr3:uid="{82DD5B5B-C808-4E6E-849C-7A03DC6D0B69}" name="Description" dataDxfId="90"/>
    <tableColumn id="36" xr3:uid="{A7BF30F6-C808-4B8F-B3FF-9FAF20E2145A}" name="Summative" dataDxfId="89"/>
    <tableColumn id="37" xr3:uid="{68E504F9-116C-43AB-BCC6-3BB48B0860D2}" name="Day of Week" dataDxfId="88"/>
    <tableColumn id="16" xr3:uid="{E6637FEB-7F23-45F0-99D2-96D20DD2DAEF}" name="Duration" dataDxfId="87"/>
    <tableColumn id="31" xr3:uid="{FD1E9614-3960-4F72-BD42-711A4CC7BBA0}" name="Nominal Hours" dataDxfId="86">
      <calculatedColumnFormula>AVERAGE(Table1[[#This Row],[Autumn Week 1]:[Spring Week 12]])*4*Table1[[#This Row],[Credits]]</calculatedColumnFormula>
    </tableColumn>
    <tableColumn id="32" xr3:uid="{E11C773A-511F-4D25-8636-C56C5B61ED90}" name="Hours" dataDxfId="85"/>
    <tableColumn id="4" xr3:uid="{04E38F13-8347-412C-866C-6EFE6796253C}" name="Autumn Week 1" dataDxfId="84"/>
    <tableColumn id="5" xr3:uid="{254D6A24-FC1B-44C7-A3DF-52DA2A250D31}" name="Autumn Week 2" dataDxfId="83"/>
    <tableColumn id="6" xr3:uid="{9EB326C3-772E-4E56-89FB-BA3A00291293}" name="Autumn Week 3" dataDxfId="82"/>
    <tableColumn id="7" xr3:uid="{94BC6C78-5A89-4267-B1C1-BFA70E5A9F34}" name="Autumn Week 4" dataDxfId="81"/>
    <tableColumn id="8" xr3:uid="{CF3B6389-B559-4FE3-8B33-FEDB303382B1}" name="Autumn Week 5" dataDxfId="80"/>
    <tableColumn id="9" xr3:uid="{8DD80B9C-D1B1-4CDE-A624-4CD3A15113DD}" name="Autumn Week 6" dataDxfId="79"/>
    <tableColumn id="10" xr3:uid="{8C4EBEE4-01CB-4AD0-B594-F466CC36D370}" name="Autumn Week 7" dataDxfId="78"/>
    <tableColumn id="11" xr3:uid="{7F8C91DE-BE61-47CF-A916-D06ED7B283E9}" name="Autumn Week 8" dataDxfId="77"/>
    <tableColumn id="12" xr3:uid="{9D58139A-0F96-4203-8D22-58BC34744B87}" name="Autumn Week 9" dataDxfId="76"/>
    <tableColumn id="13" xr3:uid="{43C545DF-9B9E-4080-8012-F9EFA0F01283}" name="Autumn Week 10" dataDxfId="75"/>
    <tableColumn id="14" xr3:uid="{829AB976-2AB2-435C-8F11-DE08DACA4407}" name="Autumn Week 11" dataDxfId="74"/>
    <tableColumn id="15" xr3:uid="{9126A0EA-FC34-4876-9D56-A0AC39C5526C}" name="Autumn Week 12" dataDxfId="73"/>
    <tableColumn id="17" xr3:uid="{15B891EE-FCC8-4E53-A90D-3E10FFC1E9FA}" name="Spring Week 1" dataDxfId="72"/>
    <tableColumn id="18" xr3:uid="{464CA212-3B53-4678-AFE4-8AF8308C1986}" name="Spring Week 2" dataDxfId="71"/>
    <tableColumn id="19" xr3:uid="{B560E823-CC29-418C-B26C-52D9FFC8C72E}" name="Spring Week 3" dataDxfId="70"/>
    <tableColumn id="20" xr3:uid="{D95606F3-E0A0-4907-91E0-4AD09D0C65CB}" name="Spring Week 4" dataDxfId="69"/>
    <tableColumn id="21" xr3:uid="{E71FF892-9A4B-444C-8972-62D92F81B0E7}" name="Spring Week 5" dataDxfId="68"/>
    <tableColumn id="22" xr3:uid="{C7775BA8-178A-4501-A8DE-2B2CF77A2451}" name="Spring Week 6" dataDxfId="67"/>
    <tableColumn id="23" xr3:uid="{51A89A97-F839-4F50-88A9-65049D65C9B0}" name="Spring Week 7" dataDxfId="66"/>
    <tableColumn id="24" xr3:uid="{26EE6D10-4FC4-49AE-8DE6-18AC556C293D}" name="Spring Week 8" dataDxfId="65"/>
    <tableColumn id="25" xr3:uid="{FCB1B9FB-21DA-415A-86E6-C8E14F864E1B}" name="Spring Week 9" dataDxfId="64"/>
    <tableColumn id="26" xr3:uid="{54402AE1-DC77-41BA-BCC7-28BCA7186B44}" name="Spring Week 10" dataDxfId="63"/>
    <tableColumn id="27" xr3:uid="{31C092D1-BD77-4126-8E72-8E74D0D11509}" name="Spring Week 11" dataDxfId="62"/>
    <tableColumn id="28" xr3:uid="{56D67770-E36A-46FE-97FA-76CD24229C51}" name="Spring Week 12" dataDxfId="61"/>
    <tableColumn id="38" xr3:uid="{29E08DCE-0D92-40C5-8F33-F1B96FB2F7A4}" name="Spring Exams" dataDxfId="60"/>
    <tableColumn id="29" xr3:uid="{785AD842-5ED0-4E27-B4B7-26E6FF9AC266}" name="Sub-total" dataDxfId="22">
      <calculatedColumnFormula>SUMIF(Table1[[#This Row],[Autumn Week 1]:[Spring Week 12]],"&gt;0",Table1[[#This Row],[Autumn Week 1]:[Spring Week 12]])</calculatedColumnFormula>
    </tableColumn>
    <tableColumn id="35" xr3:uid="{EE5D0E71-7823-4EE2-9CC1-32BF500AB742}" name="Total Hours" dataDxfId="59">
      <calculatedColumnFormula>IF(Table1[[#This Row],[Hours]]&gt;0,Table1[[#This Row],[Hours]],Table1[[#This Row],[Nominal Hours]])*COUNTIF(Table1[[#This Row],[Autumn Week 1]:[Spring Week 12]],"&gt;0")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071F52D-AD51-4120-94C5-67D4117EBD07}" name="Table14" displayName="Table14" ref="A1:AE64" totalsRowShown="0" headerRowDxfId="58" dataDxfId="56" headerRowBorderDxfId="57" tableBorderDxfId="55" totalsRowBorderDxfId="54">
  <autoFilter ref="A1:AE64" xr:uid="{FA69A777-C149-48BD-B248-35F32F0AC920}"/>
  <sortState xmlns:xlrd2="http://schemas.microsoft.com/office/spreadsheetml/2017/richdata2" ref="A2:AD64">
    <sortCondition ref="A1:A132"/>
  </sortState>
  <tableColumns count="31">
    <tableColumn id="1" xr3:uid="{D7CE4D57-09F4-4B9D-B464-A087075D1C39}" name="Module Code" dataDxfId="53"/>
    <tableColumn id="2" xr3:uid="{DE2920B2-70AC-48F3-99E7-07B70BC1E928}" name="Module Title" dataDxfId="52"/>
    <tableColumn id="3" xr3:uid="{61946E7A-4C82-425B-89A6-3DBD530FCD55}" name="Contact type" dataDxfId="51"/>
    <tableColumn id="34" xr3:uid="{55A68E2B-9324-4E9E-9629-6611EC7C904E}" name="Credits" dataDxfId="50">
      <calculatedColumnFormula>INDEX(Table2[Credits],MATCH(Table14[[#This Row],[Module Code]],Table2[Module Code],0))</calculatedColumnFormula>
    </tableColumn>
    <tableColumn id="30" xr3:uid="{9C4C2C35-CE5A-4469-93FA-21FC6F57EDAD}" name="Semester" dataDxfId="49">
      <calculatedColumnFormula>INDEX(Table2[Semester],MATCH(Table14[[#This Row],[Module Code]],Table2[Module Code],0))</calculatedColumnFormula>
    </tableColumn>
    <tableColumn id="31" xr3:uid="{A7B09E14-0C35-459D-A9D0-5143D8AFFE4E}" name="Nominal Hours" dataDxfId="48">
      <calculatedColumnFormula>INDEX(Table2[Contact Time],MATCH(Table14[[#This Row],[Module Code]],Table2[Module Code],0))</calculatedColumnFormula>
    </tableColumn>
    <tableColumn id="4" xr3:uid="{503822B3-8862-4FCD-9DD3-3B52F57A97BE}" name="Autumn Week 1" dataDxfId="47"/>
    <tableColumn id="5" xr3:uid="{760391D0-3219-4B11-8E3D-3E00EEDFA9DD}" name="Autumn Week 2" dataDxfId="46"/>
    <tableColumn id="6" xr3:uid="{6EE5E3E9-C4FB-49BE-932C-B84EA0A7970D}" name="Autumn Week 3" dataDxfId="45"/>
    <tableColumn id="7" xr3:uid="{2C7AD515-480E-49A6-8076-95205ACF95EC}" name="Autumn Week 4" dataDxfId="44"/>
    <tableColumn id="8" xr3:uid="{6FD8C5C6-433E-493B-BB28-5ADD15CFC7FB}" name="Autumn Week 5" dataDxfId="43"/>
    <tableColumn id="9" xr3:uid="{801E6BE2-75F8-40A5-A263-0AAEFDAA63E7}" name="Autumn Week 6" dataDxfId="42"/>
    <tableColumn id="10" xr3:uid="{976D463A-C6BC-4636-B732-53E6CDF3F6C7}" name="Autumn Week 7" dataDxfId="41"/>
    <tableColumn id="11" xr3:uid="{D025F987-6302-4D7B-9A9A-636F867D1872}" name="Autumn Week 8" dataDxfId="40"/>
    <tableColumn id="12" xr3:uid="{D30D10EE-2DE5-4659-AA67-2134D11D6119}" name="Autumn Week 9" dataDxfId="39"/>
    <tableColumn id="13" xr3:uid="{35E8F713-2D13-47B7-9811-293DA89F0D62}" name="Autumn Week 10" dataDxfId="38"/>
    <tableColumn id="14" xr3:uid="{5DD48606-F817-4B30-8BA1-A96457CBB489}" name="Autumn Week 11" dataDxfId="37"/>
    <tableColumn id="15" xr3:uid="{9B982ED1-A4C5-4E87-99AB-70713F2B634E}" name="Autumn Week 12" dataDxfId="36"/>
    <tableColumn id="17" xr3:uid="{3AFDFF11-D351-428A-AC16-E674EB9DD7CC}" name="Spring Week 1" dataDxfId="35"/>
    <tableColumn id="18" xr3:uid="{1431E9F9-328E-4229-9377-39D94C660D67}" name="Spring Week 2" dataDxfId="34"/>
    <tableColumn id="19" xr3:uid="{8E1051DB-2A93-4ABA-8317-8F9921CF483D}" name="Spring Week 3" dataDxfId="33"/>
    <tableColumn id="20" xr3:uid="{98B745E4-C481-42FF-9D3B-0D0899BD3DB6}" name="Spring Week 4" dataDxfId="32"/>
    <tableColumn id="21" xr3:uid="{2FC9B562-4622-444D-9372-5637BFE48E0A}" name="Spring Week 5" dataDxfId="31"/>
    <tableColumn id="22" xr3:uid="{95778D77-82F1-4B00-8FED-6FEB2BF83C3D}" name="Spring Week 6" dataDxfId="30"/>
    <tableColumn id="23" xr3:uid="{9A49A64C-9A09-47A0-BC65-A8C1C98DACA3}" name="Spring Week 7" dataDxfId="29"/>
    <tableColumn id="24" xr3:uid="{191AACBA-3CF0-48E5-B522-FCD2CCE9AC99}" name="Spring Week 8" dataDxfId="28"/>
    <tableColumn id="25" xr3:uid="{DC35B6C1-904B-4E6A-A04F-ADF850A50D85}" name="Spring Week 9" dataDxfId="27"/>
    <tableColumn id="26" xr3:uid="{BEB9E86A-57BF-4A1E-A499-BADB9EAD1DE9}" name="Spring Week 10" dataDxfId="26"/>
    <tableColumn id="27" xr3:uid="{D640FB81-F093-4E3F-B7A1-6995DDDD6305}" name="Spring Week 11" dataDxfId="25"/>
    <tableColumn id="28" xr3:uid="{496FDC17-F0F2-4381-96DA-177DC578A786}" name="Spring Week 12" dataDxfId="24"/>
    <tableColumn id="32" xr3:uid="{65BCC67A-5DC9-4957-BB42-BCF5FCA71B17}" name="Total" dataDxfId="23">
      <calculatedColumnFormula>SUM(Table14[[#This Row],[Autumn Week 1]:[Spring Week 12]])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070B5A2-579F-42D6-AF31-642FC3F016DD}" name="Table2" displayName="Table2" ref="A1:W100" totalsRowShown="0" headerRowDxfId="119" dataDxfId="117" headerRowBorderDxfId="118">
  <autoFilter ref="A1:W100" xr:uid="{4070B5A2-579F-42D6-AF31-642FC3F016DD}"/>
  <sortState xmlns:xlrd2="http://schemas.microsoft.com/office/spreadsheetml/2017/richdata2" ref="A2:B62">
    <sortCondition ref="A1:A62"/>
  </sortState>
  <tableColumns count="23">
    <tableColumn id="1" xr3:uid="{A36A2B86-0F30-4188-9ECD-AE5BC71A59F4}" name="Module Code" dataDxfId="116"/>
    <tableColumn id="2" xr3:uid="{D3F20037-EF35-4207-A530-484E1EB45719}" name="Module Title" dataDxfId="115"/>
    <tableColumn id="9" xr3:uid="{40C22022-10B9-411F-9B76-B89140ABFFB2}" name="Alternative Module Code" dataDxfId="114"/>
    <tableColumn id="13" xr3:uid="{CB12E405-1802-457C-AF17-F1B9CB3BBF13}" name="Source" dataDxfId="113"/>
    <tableColumn id="8" xr3:uid="{EA737976-1AA7-49B6-8752-A388621554F4}" name="Semester" dataDxfId="112"/>
    <tableColumn id="6" xr3:uid="{16DFC84F-5858-467D-B447-49992D721E4B}" name="Level" dataDxfId="111"/>
    <tableColumn id="5" xr3:uid="{A17BC4BA-A3CB-442D-9BDC-D3B41B98B389}" name="Credits" dataDxfId="110"/>
    <tableColumn id="19" xr3:uid="{98846C13-E462-4CFF-858E-AF75931B6712}" name="AllUG" dataDxfId="109"/>
    <tableColumn id="3" xr3:uid="{7E25B4F4-1A7D-48D9-AAA2-AF5C97240797}" name="Physics" dataDxfId="108"/>
    <tableColumn id="17" xr3:uid="{AA3AE96F-2651-49D7-89AD-BA94806438AE}" name="PhysAstro"/>
    <tableColumn id="4" xr3:uid="{9C7DD469-E550-411F-8467-246A1543FB38}" name="Astro" dataDxfId="107"/>
    <tableColumn id="7" xr3:uid="{3C5D3AEB-487E-4678-A42F-BE4BA4D0E9AA}" name="MedPhys" dataDxfId="106"/>
    <tableColumn id="20" xr3:uid="{C3673B06-C0A2-44F6-8978-F392282CECF8}" name="AllPG"/>
    <tableColumn id="14" xr3:uid="{AE552873-9B31-41A6-B73C-D052477CA74C}" name="MScPhysics" dataDxfId="105"/>
    <tableColumn id="15" xr3:uid="{8F51CE76-3A29-487A-A13C-FB63C79CF3E6}" name="MScAstro" dataDxfId="104"/>
    <tableColumn id="21" xr3:uid="{FC74E264-78AB-4682-A1B8-D8964ED1C3F3}" name="MScDataPhys" dataDxfId="14"/>
    <tableColumn id="22" xr3:uid="{2D5776F7-D7F7-4D20-A7CB-DB57997AD074}" name="MScDataAstro" dataDxfId="13"/>
    <tableColumn id="18" xr3:uid="{10668F71-1EDF-482E-86A5-46E1F3C15120}" name="MScCSPhysics"/>
    <tableColumn id="23" xr3:uid="{E837FCBC-49C7-45CE-AFAA-4F01143EF2A8}" name="CDTCSPhysics"/>
    <tableColumn id="16" xr3:uid="{DB790F5F-BEF0-41CE-A68A-1AA9DF83D66B}" name="Contact Time"/>
    <tableColumn id="10" xr3:uid="{60774AFA-B365-4EB5-AAFF-6235868F8C97}" name="Exam Weight (%)" dataDxfId="103"/>
    <tableColumn id="12" xr3:uid="{537B7C75-E9C0-42F2-9F3C-6E960AB2D257}" name="CA weight" dataDxfId="102">
      <calculatedColumnFormula>100-Table2[[#This Row],[Exam Weight (%)]]</calculatedColumnFormula>
    </tableColumn>
    <tableColumn id="11" xr3:uid="{75DA2527-5A08-4ECE-B4E4-752A8F8BF059}" name="CA Check" dataDxfId="101">
      <calculatedColumnFormula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39B40-29AD-4D93-B125-EAF72A7B3996}">
  <dimension ref="A1:AL177"/>
  <sheetViews>
    <sheetView tabSelected="1" zoomScale="70" zoomScaleNormal="70" workbookViewId="0">
      <pane xSplit="2" ySplit="1" topLeftCell="T2" activePane="bottomRight" state="frozen"/>
      <selection pane="topRight" activeCell="C1" sqref="C1"/>
      <selection pane="bottomLeft" activeCell="A2" sqref="A2"/>
      <selection pane="bottomRight" activeCell="AB21" sqref="AB21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21.7265625" style="10" bestFit="1" customWidth="1"/>
    <col min="7" max="8" width="21.7265625" style="10" customWidth="1"/>
    <col min="9" max="9" width="10.7265625" style="10" bestFit="1" customWidth="1"/>
    <col min="10" max="11" width="10.7265625" style="10" customWidth="1"/>
    <col min="12" max="23" width="9.08984375" style="14" customWidth="1"/>
    <col min="24" max="36" width="9.08984375" style="16" customWidth="1"/>
  </cols>
  <sheetData>
    <row r="1" spans="1:38" s="44" customFormat="1" ht="29">
      <c r="A1" s="39" t="s">
        <v>0</v>
      </c>
      <c r="B1" s="39" t="s">
        <v>6</v>
      </c>
      <c r="C1" s="40" t="s">
        <v>3</v>
      </c>
      <c r="D1" s="40" t="s">
        <v>202</v>
      </c>
      <c r="E1" s="40" t="s">
        <v>140</v>
      </c>
      <c r="F1" s="40" t="s">
        <v>198</v>
      </c>
      <c r="G1" s="40" t="s">
        <v>228</v>
      </c>
      <c r="H1" s="40" t="s">
        <v>337</v>
      </c>
      <c r="I1" s="40" t="s">
        <v>75</v>
      </c>
      <c r="J1" s="40" t="s">
        <v>200</v>
      </c>
      <c r="K1" s="40" t="s">
        <v>199</v>
      </c>
      <c r="L1" s="41" t="s">
        <v>25</v>
      </c>
      <c r="M1" s="41" t="s">
        <v>26</v>
      </c>
      <c r="N1" s="41" t="s">
        <v>27</v>
      </c>
      <c r="O1" s="41" t="s">
        <v>28</v>
      </c>
      <c r="P1" s="41" t="s">
        <v>29</v>
      </c>
      <c r="Q1" s="41" t="s">
        <v>30</v>
      </c>
      <c r="R1" s="41" t="s">
        <v>31</v>
      </c>
      <c r="S1" s="41" t="s">
        <v>32</v>
      </c>
      <c r="T1" s="41" t="s">
        <v>33</v>
      </c>
      <c r="U1" s="41" t="s">
        <v>34</v>
      </c>
      <c r="V1" s="41" t="s">
        <v>35</v>
      </c>
      <c r="W1" s="41" t="s">
        <v>36</v>
      </c>
      <c r="X1" s="42" t="s">
        <v>163</v>
      </c>
      <c r="Y1" s="42" t="s">
        <v>164</v>
      </c>
      <c r="Z1" s="42" t="s">
        <v>165</v>
      </c>
      <c r="AA1" s="42" t="s">
        <v>166</v>
      </c>
      <c r="AB1" s="42" t="s">
        <v>167</v>
      </c>
      <c r="AC1" s="42" t="s">
        <v>168</v>
      </c>
      <c r="AD1" s="42" t="s">
        <v>169</v>
      </c>
      <c r="AE1" s="42" t="s">
        <v>170</v>
      </c>
      <c r="AF1" s="42" t="s">
        <v>171</v>
      </c>
      <c r="AG1" s="42" t="s">
        <v>172</v>
      </c>
      <c r="AH1" s="42" t="s">
        <v>173</v>
      </c>
      <c r="AI1" s="42" t="s">
        <v>174</v>
      </c>
      <c r="AJ1" s="42" t="s">
        <v>370</v>
      </c>
      <c r="AK1" s="43" t="s">
        <v>175</v>
      </c>
      <c r="AL1" s="43" t="s">
        <v>225</v>
      </c>
    </row>
    <row r="2" spans="1:38">
      <c r="A2" s="4" t="s">
        <v>55</v>
      </c>
      <c r="B2" s="2" t="s">
        <v>54</v>
      </c>
      <c r="C2" s="11" t="s">
        <v>5</v>
      </c>
      <c r="D2" s="29">
        <f>INDEX(Table2[CA weight],MATCH(Table1[[#This Row],[Module Code]],Table2[Module Code],0))</f>
        <v>40</v>
      </c>
      <c r="E2" s="29">
        <f>INDEX(Table2[Credits],MATCH(Table1[[#This Row],[Module Code]],Table2[Module Code],0))</f>
        <v>20</v>
      </c>
      <c r="F2" s="11" t="s">
        <v>261</v>
      </c>
      <c r="G2" s="11" t="s">
        <v>229</v>
      </c>
      <c r="H2" s="11" t="s">
        <v>351</v>
      </c>
      <c r="I2" s="11">
        <v>1</v>
      </c>
      <c r="J2" s="11">
        <f>AVERAGE(Table1[[#This Row],[Autumn Week 1]:[Spring Week 12]])*4*Table1[[#This Row],[Credits]]</f>
        <v>4</v>
      </c>
      <c r="K2" s="11">
        <v>0.5</v>
      </c>
      <c r="L2" s="18"/>
      <c r="M2" s="18"/>
      <c r="N2" s="18">
        <v>0.05</v>
      </c>
      <c r="O2" s="19"/>
      <c r="P2" s="18"/>
      <c r="Q2" s="18">
        <v>0.05</v>
      </c>
      <c r="R2" s="18"/>
      <c r="S2" s="19">
        <v>0.05</v>
      </c>
      <c r="T2" s="18"/>
      <c r="U2" s="18">
        <v>0.05</v>
      </c>
      <c r="V2" s="18"/>
      <c r="W2" s="19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7">
        <f>SUMIF(Table1[[#This Row],[Autumn Week 1]:[Spring Week 12]],"&gt;0",Table1[[#This Row],[Autumn Week 1]:[Spring Week 12]])</f>
        <v>0.2</v>
      </c>
      <c r="AL2" s="27">
        <f>IF(Table1[[#This Row],[Hours]]&gt;0,Table1[[#This Row],[Hours]],Table1[[#This Row],[Nominal Hours]])*COUNTIF(Table1[[#This Row],[Autumn Week 1]:[Spring Week 12]],"&gt;0")</f>
        <v>2</v>
      </c>
    </row>
    <row r="3" spans="1:38">
      <c r="A3" s="4" t="s">
        <v>55</v>
      </c>
      <c r="B3" s="2" t="s">
        <v>54</v>
      </c>
      <c r="C3" s="11" t="s">
        <v>5</v>
      </c>
      <c r="D3" s="29">
        <f>INDEX(Table2[CA weight],MATCH(Table1[[#This Row],[Module Code]],Table2[Module Code],0))</f>
        <v>40</v>
      </c>
      <c r="E3" s="29">
        <f>INDEX(Table2[Credits],MATCH(Table1[[#This Row],[Module Code]],Table2[Module Code],0))</f>
        <v>20</v>
      </c>
      <c r="F3" s="11" t="s">
        <v>350</v>
      </c>
      <c r="G3" s="11" t="s">
        <v>229</v>
      </c>
      <c r="H3" s="11" t="s">
        <v>305</v>
      </c>
      <c r="I3" s="11">
        <v>4</v>
      </c>
      <c r="J3" s="11">
        <f>AVERAGE(Table1[[#This Row],[Autumn Week 1]:[Spring Week 12]])*4*Table1[[#This Row],[Credits]]</f>
        <v>8</v>
      </c>
      <c r="K3" s="11"/>
      <c r="L3" s="18"/>
      <c r="M3" s="18"/>
      <c r="N3" s="18"/>
      <c r="O3" s="19"/>
      <c r="P3" s="18">
        <v>0.1</v>
      </c>
      <c r="Q3" s="18"/>
      <c r="R3" s="18"/>
      <c r="S3" s="19"/>
      <c r="T3" s="18">
        <v>0.1</v>
      </c>
      <c r="U3" s="18"/>
      <c r="V3" s="18"/>
      <c r="W3" s="19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7">
        <f>SUMIF(Table1[[#This Row],[Autumn Week 1]:[Spring Week 12]],"&gt;0",Table1[[#This Row],[Autumn Week 1]:[Spring Week 12]])</f>
        <v>0.2</v>
      </c>
      <c r="AL3" s="27">
        <f>IF(Table1[[#This Row],[Hours]]&gt;0,Table1[[#This Row],[Hours]],Table1[[#This Row],[Nominal Hours]])*COUNTIF(Table1[[#This Row],[Autumn Week 1]:[Spring Week 12]],"&gt;0")</f>
        <v>16</v>
      </c>
    </row>
    <row r="4" spans="1:38">
      <c r="A4" s="4" t="s">
        <v>252</v>
      </c>
      <c r="B4" s="2" t="s">
        <v>253</v>
      </c>
      <c r="C4" s="11" t="s">
        <v>5</v>
      </c>
      <c r="D4" s="29">
        <f>INDEX(Table2[CA weight],MATCH(Table1[[#This Row],[Module Code]],Table2[Module Code],0))</f>
        <v>40</v>
      </c>
      <c r="E4" s="29">
        <f>INDEX(Table2[Credits],MATCH(Table1[[#This Row],[Module Code]],Table2[Module Code],0))</f>
        <v>20</v>
      </c>
      <c r="F4" s="11" t="s">
        <v>206</v>
      </c>
      <c r="G4" s="11" t="s">
        <v>229</v>
      </c>
      <c r="H4" s="11" t="s">
        <v>351</v>
      </c>
      <c r="I4" s="11">
        <v>3</v>
      </c>
      <c r="J4" s="11">
        <f>AVERAGE(Table1[[#This Row],[Autumn Week 1]:[Spring Week 12]])*4*Table1[[#This Row],[Credits]]</f>
        <v>8</v>
      </c>
      <c r="K4" s="11"/>
      <c r="L4" s="18"/>
      <c r="M4" s="18"/>
      <c r="N4" s="18">
        <v>0.1</v>
      </c>
      <c r="O4" s="19"/>
      <c r="P4" s="18"/>
      <c r="Q4" s="18">
        <v>0.1</v>
      </c>
      <c r="R4" s="18"/>
      <c r="S4" s="19"/>
      <c r="T4" s="18"/>
      <c r="U4" s="18"/>
      <c r="V4" s="18"/>
      <c r="W4" s="19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7">
        <f>SUMIF(Table1[[#This Row],[Autumn Week 1]:[Spring Week 12]],"&gt;0",Table1[[#This Row],[Autumn Week 1]:[Spring Week 12]])</f>
        <v>0.2</v>
      </c>
      <c r="AL4" s="27">
        <f>IF(Table1[[#This Row],[Hours]]&gt;0,Table1[[#This Row],[Hours]],Table1[[#This Row],[Nominal Hours]])*COUNTIF(Table1[[#This Row],[Autumn Week 1]:[Spring Week 12]],"&gt;0")</f>
        <v>16</v>
      </c>
    </row>
    <row r="5" spans="1:38">
      <c r="A5" s="4" t="s">
        <v>252</v>
      </c>
      <c r="B5" s="2" t="s">
        <v>253</v>
      </c>
      <c r="C5" s="11" t="s">
        <v>125</v>
      </c>
      <c r="D5" s="29">
        <f>INDEX([1]!Table2[CA weight],MATCH([1]!Table1[[#This Row],[Module Code]],[1]!Table2[Module Code],0))</f>
        <v>40</v>
      </c>
      <c r="E5" s="29">
        <f>INDEX([1]!Table2[Credits],MATCH([1]!Table1[[#This Row],[Module Code]],[1]!Table2[Module Code],0))</f>
        <v>20</v>
      </c>
      <c r="F5" s="11" t="s">
        <v>254</v>
      </c>
      <c r="G5" s="11" t="s">
        <v>220</v>
      </c>
      <c r="H5" s="11" t="s">
        <v>305</v>
      </c>
      <c r="I5" s="11">
        <v>1</v>
      </c>
      <c r="J5" s="11">
        <f>AVERAGE(Table1[[#This Row],[Autumn Week 1]:[Spring Week 12]])*4*Table1[[#This Row],[Credits]]</f>
        <v>2</v>
      </c>
      <c r="K5" s="11">
        <v>0.5</v>
      </c>
      <c r="L5" s="18"/>
      <c r="M5" s="18">
        <v>2.5000000000000001E-2</v>
      </c>
      <c r="N5" s="18"/>
      <c r="O5" s="19"/>
      <c r="P5" s="18"/>
      <c r="Q5" s="18"/>
      <c r="R5" s="18"/>
      <c r="S5" s="19"/>
      <c r="T5" s="18"/>
      <c r="U5" s="18"/>
      <c r="V5" s="18"/>
      <c r="W5" s="19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7">
        <f>SUMIF(Table1[[#This Row],[Autumn Week 1]:[Spring Week 12]],"&gt;0",Table1[[#This Row],[Autumn Week 1]:[Spring Week 12]])</f>
        <v>2.5000000000000001E-2</v>
      </c>
      <c r="AL5" s="27">
        <f>IF(Table1[[#This Row],[Hours]]&gt;0,Table1[[#This Row],[Hours]],Table1[[#This Row],[Nominal Hours]])*COUNTIF(Table1[[#This Row],[Autumn Week 1]:[Spring Week 12]],"&gt;0")</f>
        <v>0.5</v>
      </c>
    </row>
    <row r="6" spans="1:38" ht="28">
      <c r="A6" s="4" t="s">
        <v>252</v>
      </c>
      <c r="B6" s="2" t="s">
        <v>253</v>
      </c>
      <c r="C6" s="11" t="s">
        <v>125</v>
      </c>
      <c r="D6" s="29">
        <f>INDEX(Table2[CA weight],MATCH(Table1[[#This Row],[Module Code]],Table2[Module Code],0))</f>
        <v>40</v>
      </c>
      <c r="E6" s="29">
        <f>INDEX(Table2[Credits],MATCH(Table1[[#This Row],[Module Code]],Table2[Module Code],0))</f>
        <v>20</v>
      </c>
      <c r="F6" s="37" t="s">
        <v>282</v>
      </c>
      <c r="G6" s="11" t="s">
        <v>229</v>
      </c>
      <c r="H6" s="11" t="s">
        <v>305</v>
      </c>
      <c r="I6" s="11">
        <v>1</v>
      </c>
      <c r="J6" s="11">
        <f>AVERAGE(Table1[[#This Row],[Autumn Week 1]:[Spring Week 12]])*4*Table1[[#This Row],[Credits]]</f>
        <v>1.7777777777777779</v>
      </c>
      <c r="K6" s="11">
        <v>0.5</v>
      </c>
      <c r="L6" s="18"/>
      <c r="M6" s="18">
        <f t="shared" ref="M6:U6" si="0">0.2/9</f>
        <v>2.2222222222222223E-2</v>
      </c>
      <c r="N6" s="18">
        <f t="shared" si="0"/>
        <v>2.2222222222222223E-2</v>
      </c>
      <c r="O6" s="18">
        <f t="shared" si="0"/>
        <v>2.2222222222222223E-2</v>
      </c>
      <c r="P6" s="18">
        <f t="shared" si="0"/>
        <v>2.2222222222222223E-2</v>
      </c>
      <c r="Q6" s="18">
        <f t="shared" si="0"/>
        <v>2.2222222222222223E-2</v>
      </c>
      <c r="R6" s="18">
        <f t="shared" si="0"/>
        <v>2.2222222222222223E-2</v>
      </c>
      <c r="S6" s="18">
        <f t="shared" si="0"/>
        <v>2.2222222222222223E-2</v>
      </c>
      <c r="T6" s="18">
        <f t="shared" si="0"/>
        <v>2.2222222222222223E-2</v>
      </c>
      <c r="U6" s="18">
        <f t="shared" si="0"/>
        <v>2.2222222222222223E-2</v>
      </c>
      <c r="V6" s="18"/>
      <c r="W6" s="19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7">
        <f>SUMIF(Table1[[#This Row],[Autumn Week 1]:[Spring Week 12]],"&gt;0",Table1[[#This Row],[Autumn Week 1]:[Spring Week 12]])</f>
        <v>0.2</v>
      </c>
      <c r="AL6" s="27">
        <f>IF(Table1[[#This Row],[Hours]]&gt;0,Table1[[#This Row],[Hours]],Table1[[#This Row],[Nominal Hours]])*COUNTIF(Table1[[#This Row],[Autumn Week 1]:[Spring Week 12]],"&gt;0")</f>
        <v>4.5</v>
      </c>
    </row>
    <row r="7" spans="1:38">
      <c r="A7" s="4" t="s">
        <v>255</v>
      </c>
      <c r="B7" s="2" t="s">
        <v>256</v>
      </c>
      <c r="C7" s="11" t="s">
        <v>5</v>
      </c>
      <c r="D7" s="29">
        <f>INDEX(Table2[CA weight],MATCH(Table1[[#This Row],[Module Code]],Table2[Module Code],0))</f>
        <v>50</v>
      </c>
      <c r="E7" s="29">
        <f>INDEX(Table2[Credits],MATCH(Table1[[#This Row],[Module Code]],Table2[Module Code],0))</f>
        <v>10</v>
      </c>
      <c r="F7" s="11" t="s">
        <v>264</v>
      </c>
      <c r="G7" s="11" t="s">
        <v>229</v>
      </c>
      <c r="H7" s="11" t="s">
        <v>305</v>
      </c>
      <c r="I7" s="11">
        <v>2</v>
      </c>
      <c r="J7" s="11">
        <f>AVERAGE(Table1[[#This Row],[Autumn Week 1]:[Spring Week 12]])*4*Table1[[#This Row],[Credits]]</f>
        <v>2.6666666666666665</v>
      </c>
      <c r="K7" s="11">
        <v>3</v>
      </c>
      <c r="L7" s="18"/>
      <c r="M7" s="18"/>
      <c r="N7" s="19"/>
      <c r="O7" s="18">
        <f>0.2/3</f>
        <v>6.6666666666666666E-2</v>
      </c>
      <c r="P7" s="18"/>
      <c r="Q7" s="18"/>
      <c r="R7" s="19"/>
      <c r="S7" s="18">
        <f>0.2/3</f>
        <v>6.6666666666666666E-2</v>
      </c>
      <c r="T7" s="18"/>
      <c r="U7" s="18">
        <f>0.2/3</f>
        <v>6.6666666666666666E-2</v>
      </c>
      <c r="V7" s="18"/>
      <c r="W7" s="19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7">
        <f>SUMIF(Table1[[#This Row],[Autumn Week 1]:[Spring Week 12]],"&gt;0",Table1[[#This Row],[Autumn Week 1]:[Spring Week 12]])</f>
        <v>0.2</v>
      </c>
      <c r="AL7" s="27">
        <f>IF(Table1[[#This Row],[Hours]]&gt;0,Table1[[#This Row],[Hours]],Table1[[#This Row],[Nominal Hours]])*COUNTIF(Table1[[#This Row],[Autumn Week 1]:[Spring Week 12]],"&gt;0")</f>
        <v>9</v>
      </c>
    </row>
    <row r="8" spans="1:38">
      <c r="A8" s="4" t="s">
        <v>255</v>
      </c>
      <c r="B8" s="2" t="s">
        <v>256</v>
      </c>
      <c r="C8" s="11" t="s">
        <v>121</v>
      </c>
      <c r="D8" s="29">
        <f>INDEX(Table2[CA weight],MATCH(Table1[[#This Row],[Module Code]],Table2[Module Code],0))</f>
        <v>50</v>
      </c>
      <c r="E8" s="29">
        <f>INDEX(Table2[Credits],MATCH(Table1[[#This Row],[Module Code]],Table2[Module Code],0))</f>
        <v>10</v>
      </c>
      <c r="F8" s="11" t="s">
        <v>263</v>
      </c>
      <c r="G8" s="11" t="s">
        <v>229</v>
      </c>
      <c r="H8" s="11" t="s">
        <v>352</v>
      </c>
      <c r="I8" s="11">
        <v>3</v>
      </c>
      <c r="J8" s="11">
        <f>AVERAGE(Table1[[#This Row],[Autumn Week 1]:[Spring Week 12]])*4*Table1[[#This Row],[Credits]]</f>
        <v>12</v>
      </c>
      <c r="K8" s="11">
        <v>12</v>
      </c>
      <c r="L8" s="18"/>
      <c r="M8" s="18"/>
      <c r="N8" s="18"/>
      <c r="O8" s="19"/>
      <c r="P8" s="18"/>
      <c r="Q8" s="18"/>
      <c r="R8" s="18"/>
      <c r="S8" s="19">
        <v>0.3</v>
      </c>
      <c r="T8" s="18"/>
      <c r="U8" s="18"/>
      <c r="V8" s="18"/>
      <c r="W8" s="19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7">
        <f>SUMIF(Table1[[#This Row],[Autumn Week 1]:[Spring Week 12]],"&gt;0",Table1[[#This Row],[Autumn Week 1]:[Spring Week 12]])</f>
        <v>0.3</v>
      </c>
      <c r="AL8" s="27">
        <f>IF(Table1[[#This Row],[Hours]]&gt;0,Table1[[#This Row],[Hours]],Table1[[#This Row],[Nominal Hours]])*COUNTIF(Table1[[#This Row],[Autumn Week 1]:[Spring Week 12]],"&gt;0")</f>
        <v>12</v>
      </c>
    </row>
    <row r="9" spans="1:38">
      <c r="A9" s="4" t="s">
        <v>59</v>
      </c>
      <c r="B9" s="2" t="s">
        <v>58</v>
      </c>
      <c r="C9" s="11" t="s">
        <v>124</v>
      </c>
      <c r="D9" s="29">
        <f>INDEX(Table2[CA weight],MATCH(Table1[[#This Row],[Module Code]],Table2[Module Code],0))</f>
        <v>100</v>
      </c>
      <c r="E9" s="29">
        <f>INDEX(Table2[Credits],MATCH(Table1[[#This Row],[Module Code]],Table2[Module Code],0))</f>
        <v>20</v>
      </c>
      <c r="F9" s="11" t="s">
        <v>346</v>
      </c>
      <c r="G9" s="11" t="s">
        <v>220</v>
      </c>
      <c r="H9" s="11" t="s">
        <v>354</v>
      </c>
      <c r="I9" s="11">
        <v>1</v>
      </c>
      <c r="J9" s="11">
        <f>AVERAGE(Table1[[#This Row],[Autumn Week 1]:[Spring Week 12]])*4*Table1[[#This Row],[Credits]]</f>
        <v>4.0000000000000009</v>
      </c>
      <c r="K9" s="11">
        <v>0.5</v>
      </c>
      <c r="L9" s="18">
        <v>0.05</v>
      </c>
      <c r="M9" s="18">
        <v>0.05</v>
      </c>
      <c r="N9" s="18">
        <v>0.05</v>
      </c>
      <c r="O9" s="18">
        <v>0.05</v>
      </c>
      <c r="P9" s="18">
        <v>0.05</v>
      </c>
      <c r="Q9" s="18">
        <v>0.05</v>
      </c>
      <c r="R9" s="18">
        <v>0.05</v>
      </c>
      <c r="S9" s="18">
        <v>0.05</v>
      </c>
      <c r="T9" s="18">
        <v>0.05</v>
      </c>
      <c r="U9" s="18">
        <v>0.05</v>
      </c>
      <c r="V9" s="18"/>
      <c r="W9" s="19"/>
      <c r="X9" s="20">
        <v>0.05</v>
      </c>
      <c r="Y9" s="20">
        <v>0.05</v>
      </c>
      <c r="Z9" s="20">
        <v>0.05</v>
      </c>
      <c r="AA9" s="20">
        <v>0.05</v>
      </c>
      <c r="AB9" s="20">
        <v>0.05</v>
      </c>
      <c r="AC9" s="20">
        <v>0.05</v>
      </c>
      <c r="AD9" s="20">
        <v>0.05</v>
      </c>
      <c r="AE9" s="20">
        <v>0.05</v>
      </c>
      <c r="AF9" s="20">
        <v>0.05</v>
      </c>
      <c r="AG9" s="20">
        <v>0.05</v>
      </c>
      <c r="AH9" s="20"/>
      <c r="AI9" s="20"/>
      <c r="AJ9" s="20"/>
      <c r="AK9" s="27">
        <f>SUMIF(Table1[[#This Row],[Autumn Week 1]:[Spring Week 12]],"&gt;0",Table1[[#This Row],[Autumn Week 1]:[Spring Week 12]])</f>
        <v>1.0000000000000002</v>
      </c>
      <c r="AL9" s="27">
        <f>IF(Table1[[#This Row],[Hours]]&gt;0,Table1[[#This Row],[Hours]],Table1[[#This Row],[Nominal Hours]])*COUNTIF(Table1[[#This Row],[Autumn Week 1]:[Spring Week 12]],"&gt;0")</f>
        <v>10</v>
      </c>
    </row>
    <row r="10" spans="1:38">
      <c r="A10" s="4" t="s">
        <v>59</v>
      </c>
      <c r="B10" s="2" t="s">
        <v>58</v>
      </c>
      <c r="C10" s="11" t="s">
        <v>124</v>
      </c>
      <c r="D10" s="29">
        <f>INDEX(Table2[CA weight],MATCH(Table1[[#This Row],[Module Code]],Table2[Module Code],0))</f>
        <v>100</v>
      </c>
      <c r="E10" s="29">
        <f>INDEX(Table2[Credits],MATCH(Table1[[#This Row],[Module Code]],Table2[Module Code],0))</f>
        <v>20</v>
      </c>
      <c r="F10" s="11" t="s">
        <v>348</v>
      </c>
      <c r="G10" s="11" t="s">
        <v>229</v>
      </c>
      <c r="H10" s="11" t="s">
        <v>354</v>
      </c>
      <c r="I10" s="11">
        <v>2</v>
      </c>
      <c r="J10" s="11">
        <f>AVERAGE(Table1[[#This Row],[Autumn Week 1]:[Spring Week 12]])*4*Table1[[#This Row],[Credits]]</f>
        <v>7.1999999999999984</v>
      </c>
      <c r="K10" s="11">
        <v>6</v>
      </c>
      <c r="L10" s="18"/>
      <c r="M10" s="18"/>
      <c r="N10" s="18"/>
      <c r="O10" s="19"/>
      <c r="P10" s="18">
        <v>0.09</v>
      </c>
      <c r="Q10" s="18"/>
      <c r="R10" s="18">
        <v>0.09</v>
      </c>
      <c r="S10" s="19"/>
      <c r="T10" s="18">
        <v>0.09</v>
      </c>
      <c r="U10" s="18"/>
      <c r="V10" s="18"/>
      <c r="W10" s="19"/>
      <c r="X10" s="21"/>
      <c r="Y10" s="21"/>
      <c r="Z10" s="20">
        <v>0.09</v>
      </c>
      <c r="AA10" s="21"/>
      <c r="AB10" s="20">
        <v>0.09</v>
      </c>
      <c r="AC10" s="21"/>
      <c r="AD10" s="20">
        <v>0.09</v>
      </c>
      <c r="AE10" s="21"/>
      <c r="AF10" s="20"/>
      <c r="AG10" s="21"/>
      <c r="AH10" s="21"/>
      <c r="AI10" s="20"/>
      <c r="AJ10" s="20"/>
      <c r="AK10" s="27">
        <f>SUMIF(Table1[[#This Row],[Autumn Week 1]:[Spring Week 12]],"&gt;0",Table1[[#This Row],[Autumn Week 1]:[Spring Week 12]])</f>
        <v>0.53999999999999992</v>
      </c>
      <c r="AL10" s="27">
        <f>IF(Table1[[#This Row],[Hours]]&gt;0,Table1[[#This Row],[Hours]],Table1[[#This Row],[Nominal Hours]])*COUNTIF(Table1[[#This Row],[Autumn Week 1]:[Spring Week 12]],"&gt;0")</f>
        <v>36</v>
      </c>
    </row>
    <row r="11" spans="1:38">
      <c r="A11" s="4" t="s">
        <v>59</v>
      </c>
      <c r="B11" s="2" t="s">
        <v>58</v>
      </c>
      <c r="C11" s="11" t="s">
        <v>124</v>
      </c>
      <c r="D11" s="29">
        <f>INDEX(Table2[CA weight],MATCH(Table1[[#This Row],[Module Code]],Table2[Module Code],0))</f>
        <v>100</v>
      </c>
      <c r="E11" s="29">
        <f>INDEX(Table2[Credits],MATCH(Table1[[#This Row],[Module Code]],Table2[Module Code],0))</f>
        <v>20</v>
      </c>
      <c r="F11" s="11" t="s">
        <v>353</v>
      </c>
      <c r="G11" s="11" t="s">
        <v>229</v>
      </c>
      <c r="H11" s="11" t="s">
        <v>354</v>
      </c>
      <c r="I11" s="11">
        <v>1</v>
      </c>
      <c r="J11" s="11">
        <f>AVERAGE(Table1[[#This Row],[Autumn Week 1]:[Spring Week 12]])*4*Table1[[#This Row],[Credits]]</f>
        <v>7.1999999999999993</v>
      </c>
      <c r="K11" s="11">
        <v>3</v>
      </c>
      <c r="L11" s="18"/>
      <c r="M11" s="18"/>
      <c r="N11" s="18"/>
      <c r="O11" s="19"/>
      <c r="P11" s="18"/>
      <c r="Q11" s="18"/>
      <c r="R11" s="18"/>
      <c r="S11" s="19"/>
      <c r="T11" s="18"/>
      <c r="U11" s="18"/>
      <c r="V11" s="18"/>
      <c r="W11" s="19"/>
      <c r="X11" s="20"/>
      <c r="Y11" s="20"/>
      <c r="Z11" s="20"/>
      <c r="AA11" s="20"/>
      <c r="AB11" s="20"/>
      <c r="AC11" s="20"/>
      <c r="AD11" s="20"/>
      <c r="AE11" s="20"/>
      <c r="AF11" s="20">
        <v>0.09</v>
      </c>
      <c r="AG11" s="20"/>
      <c r="AH11" s="20"/>
      <c r="AI11" s="20"/>
      <c r="AJ11" s="20"/>
      <c r="AK11" s="27">
        <f>SUMIF(Table1[[#This Row],[Autumn Week 1]:[Spring Week 12]],"&gt;0",Table1[[#This Row],[Autumn Week 1]:[Spring Week 12]])</f>
        <v>0.09</v>
      </c>
      <c r="AL11" s="27">
        <f>IF(Table1[[#This Row],[Hours]]&gt;0,Table1[[#This Row],[Hours]],Table1[[#This Row],[Nominal Hours]])*COUNTIF(Table1[[#This Row],[Autumn Week 1]:[Spring Week 12]],"&gt;0")</f>
        <v>3</v>
      </c>
    </row>
    <row r="12" spans="1:38">
      <c r="A12" s="4" t="s">
        <v>59</v>
      </c>
      <c r="B12" s="2" t="s">
        <v>58</v>
      </c>
      <c r="C12" s="11" t="s">
        <v>5</v>
      </c>
      <c r="D12" s="29">
        <f>INDEX([1]!Table2[CA weight],MATCH([1]!Table1[[#This Row],[Module Code]],[1]!Table2[Module Code],0))</f>
        <v>100</v>
      </c>
      <c r="E12" s="29">
        <f>INDEX([1]!Table2[Credits],MATCH([1]!Table1[[#This Row],[Module Code]],[1]!Table2[Module Code],0))</f>
        <v>20</v>
      </c>
      <c r="F12" s="11" t="s">
        <v>205</v>
      </c>
      <c r="G12" s="11" t="s">
        <v>229</v>
      </c>
      <c r="H12" s="11" t="s">
        <v>305</v>
      </c>
      <c r="I12" s="11">
        <v>3</v>
      </c>
      <c r="J12" s="11">
        <f>AVERAGE(Table1[[#This Row],[Autumn Week 1]:[Spring Week 12]])*4*Table1[[#This Row],[Credits]]</f>
        <v>14.8</v>
      </c>
      <c r="K12" s="11"/>
      <c r="L12" s="18"/>
      <c r="M12" s="18"/>
      <c r="N12" s="18"/>
      <c r="O12" s="19"/>
      <c r="P12" s="18"/>
      <c r="Q12" s="18"/>
      <c r="R12" s="18"/>
      <c r="S12" s="19"/>
      <c r="T12" s="18"/>
      <c r="U12" s="18"/>
      <c r="V12" s="18">
        <v>0.1</v>
      </c>
      <c r="W12" s="19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>
        <v>0.27</v>
      </c>
      <c r="AI12" s="20"/>
      <c r="AJ12" s="20"/>
      <c r="AK12" s="27">
        <f>SUMIF(Table1[[#This Row],[Autumn Week 1]:[Spring Week 12]],"&gt;0",Table1[[#This Row],[Autumn Week 1]:[Spring Week 12]])</f>
        <v>0.37</v>
      </c>
      <c r="AL12" s="27">
        <f>IF(Table1[[#This Row],[Hours]]&gt;0,Table1[[#This Row],[Hours]],Table1[[#This Row],[Nominal Hours]])*COUNTIF(Table1[[#This Row],[Autumn Week 1]:[Spring Week 12]],"&gt;0")</f>
        <v>29.6</v>
      </c>
    </row>
    <row r="13" spans="1:38" ht="28">
      <c r="A13" s="3" t="s">
        <v>81</v>
      </c>
      <c r="B13" s="3" t="s">
        <v>76</v>
      </c>
      <c r="C13" s="12" t="s">
        <v>5</v>
      </c>
      <c r="D13" s="29">
        <f>INDEX(Table2[CA weight],MATCH(Table1[[#This Row],[Module Code]],Table2[Module Code],0))</f>
        <v>30</v>
      </c>
      <c r="E13" s="29">
        <f>INDEX(Table2[Credits],MATCH(Table1[[#This Row],[Module Code]],Table2[Module Code],0))</f>
        <v>20</v>
      </c>
      <c r="F13" s="45" t="s">
        <v>295</v>
      </c>
      <c r="G13" s="11" t="s">
        <v>229</v>
      </c>
      <c r="H13" s="11" t="s">
        <v>305</v>
      </c>
      <c r="I13" s="11">
        <v>2</v>
      </c>
      <c r="J13" s="11">
        <f>AVERAGE(Table1[[#This Row],[Autumn Week 1]:[Spring Week 12]])*4*Table1[[#This Row],[Credits]]</f>
        <v>2.4000000000000004</v>
      </c>
      <c r="K13" s="11">
        <v>2</v>
      </c>
      <c r="L13" s="18"/>
      <c r="M13" s="18"/>
      <c r="N13" s="18"/>
      <c r="O13" s="19"/>
      <c r="P13" s="18"/>
      <c r="Q13" s="18"/>
      <c r="R13" s="18"/>
      <c r="S13" s="19"/>
      <c r="T13" s="18"/>
      <c r="U13" s="18"/>
      <c r="V13" s="18"/>
      <c r="W13" s="19"/>
      <c r="X13" s="20"/>
      <c r="Y13" s="20">
        <v>0.03</v>
      </c>
      <c r="Z13" s="20">
        <v>0.03</v>
      </c>
      <c r="AA13" s="20">
        <v>0.03</v>
      </c>
      <c r="AB13" s="20">
        <v>0.03</v>
      </c>
      <c r="AC13" s="20">
        <v>0.03</v>
      </c>
      <c r="AD13" s="20">
        <v>0.03</v>
      </c>
      <c r="AE13" s="20">
        <v>0.03</v>
      </c>
      <c r="AF13" s="20">
        <v>0.03</v>
      </c>
      <c r="AG13" s="20">
        <v>0.03</v>
      </c>
      <c r="AH13" s="20">
        <v>0.03</v>
      </c>
      <c r="AI13" s="20"/>
      <c r="AJ13" s="20"/>
      <c r="AK13" s="27">
        <f>SUMIF(Table1[[#This Row],[Autumn Week 1]:[Spring Week 12]],"&gt;0",Table1[[#This Row],[Autumn Week 1]:[Spring Week 12]])</f>
        <v>0.30000000000000004</v>
      </c>
      <c r="AL13" s="27">
        <f>IF(Table1[[#This Row],[Hours]]&gt;0,Table1[[#This Row],[Hours]],Table1[[#This Row],[Nominal Hours]])*COUNTIF(Table1[[#This Row],[Autumn Week 1]:[Spring Week 12]],"&gt;0")</f>
        <v>20</v>
      </c>
    </row>
    <row r="14" spans="1:38">
      <c r="A14" s="3" t="s">
        <v>187</v>
      </c>
      <c r="B14" s="3" t="s">
        <v>77</v>
      </c>
      <c r="C14" s="11" t="s">
        <v>124</v>
      </c>
      <c r="D14" s="29">
        <f>INDEX(Table2[CA weight],MATCH(Table1[[#This Row],[Module Code]],Table2[Module Code],0))</f>
        <v>100</v>
      </c>
      <c r="E14" s="29">
        <f>INDEX(Table2[Credits],MATCH(Table1[[#This Row],[Module Code]],Table2[Module Code],0))</f>
        <v>10</v>
      </c>
      <c r="F14" s="11" t="s">
        <v>207</v>
      </c>
      <c r="G14" s="11" t="s">
        <v>229</v>
      </c>
      <c r="H14" s="11" t="s">
        <v>369</v>
      </c>
      <c r="I14" s="11">
        <v>1</v>
      </c>
      <c r="J14" s="11">
        <f>AVERAGE(Table1[[#This Row],[Autumn Week 1]:[Spring Week 12]])*4*Table1[[#This Row],[Credits]]</f>
        <v>1.9999999999999998</v>
      </c>
      <c r="K14" s="11">
        <v>0</v>
      </c>
      <c r="L14" s="18"/>
      <c r="M14" s="18"/>
      <c r="N14" s="18"/>
      <c r="O14" s="19"/>
      <c r="P14" s="18"/>
      <c r="Q14" s="18"/>
      <c r="R14" s="18"/>
      <c r="S14" s="19"/>
      <c r="T14" s="18"/>
      <c r="U14" s="18"/>
      <c r="V14" s="18"/>
      <c r="W14" s="19"/>
      <c r="X14" s="20">
        <v>0.05</v>
      </c>
      <c r="Y14" s="20">
        <v>0.05</v>
      </c>
      <c r="Z14" s="20">
        <v>0.05</v>
      </c>
      <c r="AA14" s="20">
        <v>0.05</v>
      </c>
      <c r="AB14" s="20">
        <v>0.05</v>
      </c>
      <c r="AC14" s="20">
        <v>0.05</v>
      </c>
      <c r="AD14" s="20">
        <v>0.05</v>
      </c>
      <c r="AE14" s="20">
        <v>0.05</v>
      </c>
      <c r="AF14" s="20">
        <v>0.05</v>
      </c>
      <c r="AG14" s="20">
        <v>0.05</v>
      </c>
      <c r="AH14" s="20"/>
      <c r="AI14" s="20"/>
      <c r="AJ14" s="20"/>
      <c r="AK14" s="27">
        <f>SUMIF(Table1[[#This Row],[Autumn Week 1]:[Spring Week 12]],"&gt;0",Table1[[#This Row],[Autumn Week 1]:[Spring Week 12]])</f>
        <v>0.49999999999999994</v>
      </c>
      <c r="AL14" s="27">
        <f>IF(Table1[[#This Row],[Hours]]&gt;0,Table1[[#This Row],[Hours]],Table1[[#This Row],[Nominal Hours]])*COUNTIF(Table1[[#This Row],[Autumn Week 1]:[Spring Week 12]],"&gt;0")</f>
        <v>19.999999999999996</v>
      </c>
    </row>
    <row r="15" spans="1:38">
      <c r="A15" s="3" t="s">
        <v>187</v>
      </c>
      <c r="B15" s="3" t="s">
        <v>77</v>
      </c>
      <c r="C15" s="12" t="s">
        <v>5</v>
      </c>
      <c r="D15" s="29">
        <f>INDEX([1]!Table2[CA weight],MATCH([1]!Table1[[#This Row],[Module Code]],[1]!Table2[Module Code],0))</f>
        <v>100</v>
      </c>
      <c r="E15" s="29">
        <f>INDEX([1]!Table2[Credits],MATCH([1]!Table1[[#This Row],[Module Code]],[1]!Table2[Module Code],0))</f>
        <v>10</v>
      </c>
      <c r="F15" s="11" t="s">
        <v>355</v>
      </c>
      <c r="G15" s="11" t="s">
        <v>229</v>
      </c>
      <c r="H15" s="11" t="s">
        <v>311</v>
      </c>
      <c r="I15" s="11">
        <v>3</v>
      </c>
      <c r="J15" s="11">
        <f>AVERAGE(Table1[[#This Row],[Autumn Week 1]:[Spring Week 12]])*4*Table1[[#This Row],[Credits]]</f>
        <v>0</v>
      </c>
      <c r="K15" s="11">
        <v>5</v>
      </c>
      <c r="L15" s="18"/>
      <c r="M15" s="18"/>
      <c r="N15" s="18"/>
      <c r="O15" s="19"/>
      <c r="P15" s="18"/>
      <c r="Q15" s="18"/>
      <c r="R15" s="18"/>
      <c r="S15" s="19"/>
      <c r="T15" s="18"/>
      <c r="U15" s="18"/>
      <c r="V15" s="18"/>
      <c r="W15" s="19"/>
      <c r="X15" s="20"/>
      <c r="Y15" s="20"/>
      <c r="Z15" s="20"/>
      <c r="AA15" s="20"/>
      <c r="AB15" s="20"/>
      <c r="AC15" s="20"/>
      <c r="AD15" s="20">
        <v>0.2</v>
      </c>
      <c r="AE15" s="20">
        <v>-0.2</v>
      </c>
      <c r="AF15" s="20"/>
      <c r="AG15" s="20"/>
      <c r="AH15" s="20"/>
      <c r="AI15" s="20"/>
      <c r="AJ15" s="20"/>
      <c r="AK15" s="27">
        <f>SUMIF(Table1[[#This Row],[Autumn Week 1]:[Spring Week 12]],"&gt;0",Table1[[#This Row],[Autumn Week 1]:[Spring Week 12]])</f>
        <v>0.2</v>
      </c>
      <c r="AL15" s="27">
        <f>IF(Table1[[#This Row],[Hours]]&gt;0,Table1[[#This Row],[Hours]],Table1[[#This Row],[Nominal Hours]])*COUNTIF(Table1[[#This Row],[Autumn Week 1]:[Spring Week 12]],"&gt;0")</f>
        <v>5</v>
      </c>
    </row>
    <row r="16" spans="1:38">
      <c r="A16" s="3" t="s">
        <v>187</v>
      </c>
      <c r="B16" s="3" t="s">
        <v>77</v>
      </c>
      <c r="C16" s="12" t="s">
        <v>5</v>
      </c>
      <c r="D16" s="29">
        <f>INDEX(Table2[CA weight],MATCH(Table1[[#This Row],[Module Code]],Table2[Module Code],0))</f>
        <v>100</v>
      </c>
      <c r="E16" s="29">
        <f>INDEX(Table2[Credits],MATCH(Table1[[#This Row],[Module Code]],Table2[Module Code],0))</f>
        <v>10</v>
      </c>
      <c r="F16" s="12" t="s">
        <v>356</v>
      </c>
      <c r="G16" s="11" t="s">
        <v>229</v>
      </c>
      <c r="H16" s="11" t="s">
        <v>359</v>
      </c>
      <c r="I16" s="11">
        <v>2</v>
      </c>
      <c r="J16" s="11">
        <f>AVERAGE(Table1[[#This Row],[Autumn Week 1]:[Spring Week 12]])*4*Table1[[#This Row],[Credits]]</f>
        <v>12</v>
      </c>
      <c r="K16" s="11">
        <v>5</v>
      </c>
      <c r="L16" s="18"/>
      <c r="M16" s="18"/>
      <c r="N16" s="18"/>
      <c r="O16" s="19"/>
      <c r="P16" s="18"/>
      <c r="Q16" s="18"/>
      <c r="R16" s="18"/>
      <c r="S16" s="19"/>
      <c r="T16" s="18"/>
      <c r="U16" s="18"/>
      <c r="V16" s="18"/>
      <c r="W16" s="19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>
        <v>0.3</v>
      </c>
      <c r="AJ16" s="20"/>
      <c r="AK16" s="27">
        <f>SUMIF(Table1[[#This Row],[Autumn Week 1]:[Spring Week 12]],"&gt;0",Table1[[#This Row],[Autumn Week 1]:[Spring Week 12]])</f>
        <v>0.3</v>
      </c>
      <c r="AL16" s="27">
        <f>IF(Table1[[#This Row],[Hours]]&gt;0,Table1[[#This Row],[Hours]],Table1[[#This Row],[Nominal Hours]])*COUNTIF(Table1[[#This Row],[Autumn Week 1]:[Spring Week 12]],"&gt;0")</f>
        <v>5</v>
      </c>
    </row>
    <row r="17" spans="1:38">
      <c r="A17" s="3" t="s">
        <v>83</v>
      </c>
      <c r="B17" s="3" t="s">
        <v>79</v>
      </c>
      <c r="C17" s="11" t="s">
        <v>125</v>
      </c>
      <c r="D17" s="29">
        <f>INDEX(Table2[CA weight],MATCH(Table1[[#This Row],[Module Code]],Table2[Module Code],0))</f>
        <v>30</v>
      </c>
      <c r="E17" s="29">
        <f>INDEX(Table2[Credits],MATCH(Table1[[#This Row],[Module Code]],Table2[Module Code],0))</f>
        <v>10</v>
      </c>
      <c r="F17" s="11" t="s">
        <v>261</v>
      </c>
      <c r="G17" s="11" t="s">
        <v>229</v>
      </c>
      <c r="H17" s="11" t="s">
        <v>305</v>
      </c>
      <c r="I17" s="11">
        <v>1</v>
      </c>
      <c r="J17" s="11">
        <f>AVERAGE(Table1[[#This Row],[Autumn Week 1]:[Spring Week 12]])*4*Table1[[#This Row],[Credits]]</f>
        <v>0.8</v>
      </c>
      <c r="K17" s="11">
        <v>0.5</v>
      </c>
      <c r="L17" s="18"/>
      <c r="M17" s="18"/>
      <c r="N17" s="18"/>
      <c r="O17" s="19"/>
      <c r="P17" s="18"/>
      <c r="Q17" s="18"/>
      <c r="R17" s="18"/>
      <c r="S17" s="19"/>
      <c r="T17" s="18"/>
      <c r="U17" s="18"/>
      <c r="V17" s="18"/>
      <c r="W17" s="19"/>
      <c r="X17" s="20"/>
      <c r="Y17" s="20"/>
      <c r="Z17" s="20"/>
      <c r="AA17" s="20">
        <v>0.02</v>
      </c>
      <c r="AB17" s="20"/>
      <c r="AC17" s="20">
        <v>0.02</v>
      </c>
      <c r="AD17" s="20"/>
      <c r="AE17" s="20">
        <v>0.02</v>
      </c>
      <c r="AF17" s="20">
        <v>0.02</v>
      </c>
      <c r="AG17" s="20"/>
      <c r="AH17" s="20">
        <v>0.02</v>
      </c>
      <c r="AI17" s="20"/>
      <c r="AJ17" s="20"/>
      <c r="AK17" s="27">
        <f>SUMIF(Table1[[#This Row],[Autumn Week 1]:[Spring Week 12]],"&gt;0",Table1[[#This Row],[Autumn Week 1]:[Spring Week 12]])</f>
        <v>0.1</v>
      </c>
      <c r="AL17" s="27">
        <f>IF(Table1[[#This Row],[Hours]]&gt;0,Table1[[#This Row],[Hours]],Table1[[#This Row],[Nominal Hours]])*COUNTIF(Table1[[#This Row],[Autumn Week 1]:[Spring Week 12]],"&gt;0")</f>
        <v>2.5</v>
      </c>
    </row>
    <row r="18" spans="1:38">
      <c r="A18" s="3" t="s">
        <v>83</v>
      </c>
      <c r="B18" s="3" t="s">
        <v>79</v>
      </c>
      <c r="C18" s="12" t="s">
        <v>5</v>
      </c>
      <c r="D18" s="29">
        <f>INDEX(Table2[CA weight],MATCH(Table1[[#This Row],[Module Code]],Table2[Module Code],0))</f>
        <v>30</v>
      </c>
      <c r="E18" s="29">
        <f>INDEX(Table2[Credits],MATCH(Table1[[#This Row],[Module Code]],Table2[Module Code],0))</f>
        <v>10</v>
      </c>
      <c r="F18" s="12" t="s">
        <v>206</v>
      </c>
      <c r="G18" s="11" t="s">
        <v>229</v>
      </c>
      <c r="H18" s="11" t="s">
        <v>359</v>
      </c>
      <c r="I18" s="11">
        <v>4</v>
      </c>
      <c r="J18" s="11">
        <f>AVERAGE(Table1[[#This Row],[Autumn Week 1]:[Spring Week 12]])*4*Table1[[#This Row],[Credits]]</f>
        <v>4</v>
      </c>
      <c r="K18" s="11"/>
      <c r="L18" s="18"/>
      <c r="M18" s="18"/>
      <c r="N18" s="18"/>
      <c r="O18" s="19"/>
      <c r="P18" s="18"/>
      <c r="Q18" s="18"/>
      <c r="R18" s="18"/>
      <c r="S18" s="19"/>
      <c r="T18" s="18"/>
      <c r="U18" s="18"/>
      <c r="V18" s="18"/>
      <c r="W18" s="19"/>
      <c r="X18" s="20"/>
      <c r="Y18" s="20"/>
      <c r="Z18" s="20"/>
      <c r="AA18" s="20"/>
      <c r="AB18" s="20">
        <v>0.1</v>
      </c>
      <c r="AC18" s="20"/>
      <c r="AD18" s="20"/>
      <c r="AE18" s="20"/>
      <c r="AF18" s="20"/>
      <c r="AG18" s="20"/>
      <c r="AH18" s="20"/>
      <c r="AI18" s="20"/>
      <c r="AJ18" s="20"/>
      <c r="AK18" s="27">
        <f>SUMIF(Table1[[#This Row],[Autumn Week 1]:[Spring Week 12]],"&gt;0",Table1[[#This Row],[Autumn Week 1]:[Spring Week 12]])</f>
        <v>0.1</v>
      </c>
      <c r="AL18" s="27">
        <f>IF(Table1[[#This Row],[Hours]]&gt;0,Table1[[#This Row],[Hours]],Table1[[#This Row],[Nominal Hours]])*COUNTIF(Table1[[#This Row],[Autumn Week 1]:[Spring Week 12]],"&gt;0")</f>
        <v>4</v>
      </c>
    </row>
    <row r="19" spans="1:38">
      <c r="A19" s="3" t="s">
        <v>83</v>
      </c>
      <c r="B19" s="3" t="s">
        <v>79</v>
      </c>
      <c r="C19" s="12" t="s">
        <v>5</v>
      </c>
      <c r="D19" s="29">
        <f>INDEX([1]!Table2[CA weight],MATCH([1]!Table1[[#This Row],[Module Code]],[1]!Table2[Module Code],0))</f>
        <v>30</v>
      </c>
      <c r="E19" s="29">
        <f>INDEX([1]!Table2[Credits],MATCH([1]!Table1[[#This Row],[Module Code]],[1]!Table2[Module Code],0))</f>
        <v>10</v>
      </c>
      <c r="F19" s="12" t="s">
        <v>357</v>
      </c>
      <c r="G19" s="11" t="s">
        <v>229</v>
      </c>
      <c r="H19" s="11" t="s">
        <v>359</v>
      </c>
      <c r="I19" s="11">
        <v>4</v>
      </c>
      <c r="J19" s="11">
        <f>AVERAGE(Table1[[#This Row],[Autumn Week 1]:[Spring Week 12]])*4*Table1[[#This Row],[Credits]]</f>
        <v>4</v>
      </c>
      <c r="K19" s="11"/>
      <c r="L19" s="18"/>
      <c r="M19" s="18"/>
      <c r="N19" s="18"/>
      <c r="O19" s="19"/>
      <c r="P19" s="18"/>
      <c r="Q19" s="18"/>
      <c r="R19" s="18"/>
      <c r="S19" s="19"/>
      <c r="T19" s="18"/>
      <c r="U19" s="18"/>
      <c r="V19" s="18"/>
      <c r="W19" s="19"/>
      <c r="X19" s="20"/>
      <c r="Y19" s="20"/>
      <c r="Z19" s="20"/>
      <c r="AA19" s="20"/>
      <c r="AB19" s="20"/>
      <c r="AC19" s="20"/>
      <c r="AD19" s="20"/>
      <c r="AE19" s="20"/>
      <c r="AF19" s="20"/>
      <c r="AG19" s="20">
        <v>0.1</v>
      </c>
      <c r="AH19" s="20"/>
      <c r="AI19" s="20"/>
      <c r="AJ19" s="20"/>
      <c r="AK19" s="27">
        <f>SUMIF(Table1[[#This Row],[Autumn Week 1]:[Spring Week 12]],"&gt;0",Table1[[#This Row],[Autumn Week 1]:[Spring Week 12]])</f>
        <v>0.1</v>
      </c>
      <c r="AL19" s="27">
        <f>IF(Table1[[#This Row],[Hours]]&gt;0,Table1[[#This Row],[Hours]],Table1[[#This Row],[Nominal Hours]])*COUNTIF(Table1[[#This Row],[Autumn Week 1]:[Spring Week 12]],"&gt;0")</f>
        <v>4</v>
      </c>
    </row>
    <row r="20" spans="1:38">
      <c r="A20" s="3" t="s">
        <v>84</v>
      </c>
      <c r="B20" s="3" t="s">
        <v>80</v>
      </c>
      <c r="C20" s="12" t="s">
        <v>5</v>
      </c>
      <c r="D20" s="29">
        <f>INDEX(Table2[CA weight],MATCH(Table1[[#This Row],[Module Code]],Table2[Module Code],0))</f>
        <v>40</v>
      </c>
      <c r="E20" s="29">
        <f>INDEX(Table2[Credits],MATCH(Table1[[#This Row],[Module Code]],Table2[Module Code],0))</f>
        <v>10</v>
      </c>
      <c r="F20" s="12" t="s">
        <v>206</v>
      </c>
      <c r="G20" s="11" t="s">
        <v>229</v>
      </c>
      <c r="H20" s="11" t="s">
        <v>305</v>
      </c>
      <c r="I20" s="11">
        <v>2</v>
      </c>
      <c r="J20" s="11">
        <f>AVERAGE(Table1[[#This Row],[Autumn Week 1]:[Spring Week 12]])*4*Table1[[#This Row],[Credits]]</f>
        <v>2.4000000000000004</v>
      </c>
      <c r="K20" s="11">
        <v>4</v>
      </c>
      <c r="L20" s="18"/>
      <c r="M20" s="18"/>
      <c r="N20" s="18"/>
      <c r="O20" s="19"/>
      <c r="P20" s="18"/>
      <c r="Q20" s="18"/>
      <c r="R20" s="18"/>
      <c r="S20" s="19"/>
      <c r="T20" s="18"/>
      <c r="U20" s="18"/>
      <c r="V20" s="18"/>
      <c r="W20" s="19"/>
      <c r="X20" s="20"/>
      <c r="Y20" s="20"/>
      <c r="Z20" s="20">
        <v>0.1</v>
      </c>
      <c r="AA20" s="20"/>
      <c r="AB20" s="20">
        <v>-0.1</v>
      </c>
      <c r="AC20" s="20">
        <v>0.1</v>
      </c>
      <c r="AD20" s="20"/>
      <c r="AE20" s="20">
        <v>0.1</v>
      </c>
      <c r="AF20" s="20"/>
      <c r="AG20" s="20">
        <v>0.1</v>
      </c>
      <c r="AH20" s="20"/>
      <c r="AI20" s="20"/>
      <c r="AJ20" s="20"/>
      <c r="AK20" s="27">
        <f>SUMIF(Table1[[#This Row],[Autumn Week 1]:[Spring Week 12]],"&gt;0",Table1[[#This Row],[Autumn Week 1]:[Spring Week 12]])</f>
        <v>0.4</v>
      </c>
      <c r="AL20" s="27">
        <f>IF(Table1[[#This Row],[Hours]]&gt;0,Table1[[#This Row],[Hours]],Table1[[#This Row],[Nominal Hours]])*COUNTIF(Table1[[#This Row],[Autumn Week 1]:[Spring Week 12]],"&gt;0")</f>
        <v>16</v>
      </c>
    </row>
    <row r="21" spans="1:38">
      <c r="A21" s="3" t="s">
        <v>82</v>
      </c>
      <c r="B21" s="3" t="s">
        <v>78</v>
      </c>
      <c r="C21" s="12" t="s">
        <v>121</v>
      </c>
      <c r="D21" s="29">
        <f>INDEX(Table2[CA weight],MATCH(Table1[[#This Row],[Module Code]],Table2[Module Code],0))</f>
        <v>20</v>
      </c>
      <c r="E21" s="29">
        <f>INDEX(Table2[Credits],MATCH(Table1[[#This Row],[Module Code]],Table2[Module Code],0))</f>
        <v>10</v>
      </c>
      <c r="F21" s="12" t="s">
        <v>208</v>
      </c>
      <c r="G21" s="11" t="s">
        <v>229</v>
      </c>
      <c r="H21" s="11" t="s">
        <v>311</v>
      </c>
      <c r="I21" s="11">
        <v>6</v>
      </c>
      <c r="J21" s="11">
        <f>AVERAGE(Table1[[#This Row],[Autumn Week 1]:[Spring Week 12]])*4*Table1[[#This Row],[Credits]]</f>
        <v>2</v>
      </c>
      <c r="K21" s="11"/>
      <c r="L21" s="18"/>
      <c r="M21" s="18"/>
      <c r="N21" s="18"/>
      <c r="O21" s="19"/>
      <c r="P21" s="18"/>
      <c r="Q21" s="18"/>
      <c r="R21" s="18"/>
      <c r="S21" s="19"/>
      <c r="T21" s="18"/>
      <c r="U21" s="18"/>
      <c r="V21" s="18"/>
      <c r="W21" s="19"/>
      <c r="X21" s="20"/>
      <c r="Y21" s="20"/>
      <c r="Z21" s="20"/>
      <c r="AA21" s="20"/>
      <c r="AB21" s="20"/>
      <c r="AC21" s="20">
        <v>0.05</v>
      </c>
      <c r="AD21" s="20"/>
      <c r="AE21" s="20"/>
      <c r="AF21" s="20"/>
      <c r="AG21" s="20"/>
      <c r="AH21" s="20"/>
      <c r="AI21" s="20"/>
      <c r="AJ21" s="20"/>
      <c r="AK21" s="27">
        <f>SUMIF(Table1[[#This Row],[Autumn Week 1]:[Spring Week 12]],"&gt;0",Table1[[#This Row],[Autumn Week 1]:[Spring Week 12]])</f>
        <v>0.05</v>
      </c>
      <c r="AL21" s="27">
        <f>IF(Table1[[#This Row],[Hours]]&gt;0,Table1[[#This Row],[Hours]],Table1[[#This Row],[Nominal Hours]])*COUNTIF(Table1[[#This Row],[Autumn Week 1]:[Spring Week 12]],"&gt;0")</f>
        <v>2</v>
      </c>
    </row>
    <row r="22" spans="1:38">
      <c r="A22" s="3" t="s">
        <v>82</v>
      </c>
      <c r="B22" s="3" t="s">
        <v>78</v>
      </c>
      <c r="C22" s="12" t="s">
        <v>5</v>
      </c>
      <c r="D22" s="29">
        <f>INDEX(Table2[CA weight],MATCH(Table1[[#This Row],[Module Code]],Table2[Module Code],0))</f>
        <v>20</v>
      </c>
      <c r="E22" s="29">
        <f>INDEX(Table2[Credits],MATCH(Table1[[#This Row],[Module Code]],Table2[Module Code],0))</f>
        <v>10</v>
      </c>
      <c r="F22" s="12" t="s">
        <v>205</v>
      </c>
      <c r="G22" s="11" t="s">
        <v>229</v>
      </c>
      <c r="H22" s="11" t="s">
        <v>305</v>
      </c>
      <c r="I22" s="11">
        <v>6</v>
      </c>
      <c r="J22" s="11">
        <f>AVERAGE(Table1[[#This Row],[Autumn Week 1]:[Spring Week 12]])*4*Table1[[#This Row],[Credits]]</f>
        <v>6</v>
      </c>
      <c r="K22" s="11"/>
      <c r="L22" s="18"/>
      <c r="M22" s="18"/>
      <c r="N22" s="18"/>
      <c r="O22" s="19"/>
      <c r="P22" s="18"/>
      <c r="Q22" s="18"/>
      <c r="R22" s="18"/>
      <c r="S22" s="19"/>
      <c r="T22" s="18"/>
      <c r="U22" s="18"/>
      <c r="V22" s="18"/>
      <c r="W22" s="19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>
        <v>0.15</v>
      </c>
      <c r="AI22" s="20"/>
      <c r="AJ22" s="20"/>
      <c r="AK22" s="27">
        <f>SUMIF(Table1[[#This Row],[Autumn Week 1]:[Spring Week 12]],"&gt;0",Table1[[#This Row],[Autumn Week 1]:[Spring Week 12]])</f>
        <v>0.15</v>
      </c>
      <c r="AL22" s="27">
        <f>IF(Table1[[#This Row],[Hours]]&gt;0,Table1[[#This Row],[Hours]],Table1[[#This Row],[Nominal Hours]])*COUNTIF(Table1[[#This Row],[Autumn Week 1]:[Spring Week 12]],"&gt;0")</f>
        <v>6</v>
      </c>
    </row>
    <row r="23" spans="1:38" ht="28">
      <c r="A23" s="4" t="s">
        <v>37</v>
      </c>
      <c r="B23" s="2" t="s">
        <v>38</v>
      </c>
      <c r="C23" s="11" t="s">
        <v>125</v>
      </c>
      <c r="D23" s="29">
        <f>INDEX(Table2[CA weight],MATCH(Table1[[#This Row],[Module Code]],Table2[Module Code],0))</f>
        <v>40</v>
      </c>
      <c r="E23" s="29">
        <f>INDEX(Table2[Credits],MATCH(Table1[[#This Row],[Module Code]],Table2[Module Code],0))</f>
        <v>20</v>
      </c>
      <c r="F23" s="37" t="s">
        <v>294</v>
      </c>
      <c r="G23" s="11" t="s">
        <v>229</v>
      </c>
      <c r="H23" s="11" t="s">
        <v>359</v>
      </c>
      <c r="I23" s="11">
        <v>1</v>
      </c>
      <c r="J23" s="11">
        <f>AVERAGE(Table1[[#This Row],[Autumn Week 1]:[Spring Week 12]])*4*Table1[[#This Row],[Credits]]</f>
        <v>0.79999999999999982</v>
      </c>
      <c r="K23" s="11">
        <v>0.5</v>
      </c>
      <c r="L23" s="18"/>
      <c r="M23" s="18">
        <v>0.01</v>
      </c>
      <c r="N23" s="18">
        <v>0.01</v>
      </c>
      <c r="O23" s="19">
        <v>0.01</v>
      </c>
      <c r="P23" s="18">
        <v>0.01</v>
      </c>
      <c r="Q23" s="18">
        <v>0.01</v>
      </c>
      <c r="R23" s="18">
        <v>0.01</v>
      </c>
      <c r="S23" s="19">
        <v>0.01</v>
      </c>
      <c r="T23" s="18">
        <v>0.01</v>
      </c>
      <c r="U23" s="18">
        <v>0.01</v>
      </c>
      <c r="V23" s="18">
        <v>0.01</v>
      </c>
      <c r="W23" s="19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7">
        <f>SUMIF(Table1[[#This Row],[Autumn Week 1]:[Spring Week 12]],"&gt;0",Table1[[#This Row],[Autumn Week 1]:[Spring Week 12]])</f>
        <v>9.9999999999999992E-2</v>
      </c>
      <c r="AL23" s="27">
        <f>IF(Table1[[#This Row],[Hours]]&gt;0,Table1[[#This Row],[Hours]],Table1[[#This Row],[Nominal Hours]])*COUNTIF(Table1[[#This Row],[Autumn Week 1]:[Spring Week 12]],"&gt;0")</f>
        <v>5</v>
      </c>
    </row>
    <row r="24" spans="1:38">
      <c r="A24" s="4" t="s">
        <v>37</v>
      </c>
      <c r="B24" s="2" t="s">
        <v>38</v>
      </c>
      <c r="C24" s="11" t="s">
        <v>5</v>
      </c>
      <c r="D24" s="29">
        <f>INDEX(Table2[CA weight],MATCH(Table1[[#This Row],[Module Code]],Table2[Module Code],0))</f>
        <v>40</v>
      </c>
      <c r="E24" s="29">
        <f>INDEX(Table2[Credits],MATCH(Table1[[#This Row],[Module Code]],Table2[Module Code],0))</f>
        <v>20</v>
      </c>
      <c r="F24" s="11" t="s">
        <v>206</v>
      </c>
      <c r="G24" s="11" t="s">
        <v>229</v>
      </c>
      <c r="H24" s="11" t="s">
        <v>305</v>
      </c>
      <c r="I24" s="11">
        <v>3</v>
      </c>
      <c r="J24" s="11">
        <f>AVERAGE(Table1[[#This Row],[Autumn Week 1]:[Spring Week 12]])*4*Table1[[#This Row],[Credits]]</f>
        <v>0</v>
      </c>
      <c r="K24" s="11">
        <v>15</v>
      </c>
      <c r="L24" s="18"/>
      <c r="M24" s="18"/>
      <c r="N24" s="18"/>
      <c r="O24" s="19">
        <v>-0.15</v>
      </c>
      <c r="P24" s="18">
        <v>0.15</v>
      </c>
      <c r="Q24" s="18"/>
      <c r="R24" s="18"/>
      <c r="S24" s="19">
        <v>0.15</v>
      </c>
      <c r="T24" s="18">
        <v>-0.15</v>
      </c>
      <c r="U24" s="18"/>
      <c r="V24" s="18"/>
      <c r="W24" s="19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7">
        <f>SUMIF(Table1[[#This Row],[Autumn Week 1]:[Spring Week 12]],"&gt;0",Table1[[#This Row],[Autumn Week 1]:[Spring Week 12]])</f>
        <v>0.3</v>
      </c>
      <c r="AL24" s="27">
        <f>IF(Table1[[#This Row],[Hours]]&gt;0,Table1[[#This Row],[Hours]],Table1[[#This Row],[Nominal Hours]])*COUNTIF(Table1[[#This Row],[Autumn Week 1]:[Spring Week 12]],"&gt;0")</f>
        <v>30</v>
      </c>
    </row>
    <row r="25" spans="1:38">
      <c r="A25" s="4" t="s">
        <v>258</v>
      </c>
      <c r="B25" s="2" t="s">
        <v>257</v>
      </c>
      <c r="C25" s="11" t="s">
        <v>5</v>
      </c>
      <c r="D25" s="29">
        <f>INDEX(Table2[CA weight],MATCH(Table1[[#This Row],[Module Code]],Table2[Module Code],0))</f>
        <v>40</v>
      </c>
      <c r="E25" s="29">
        <f>INDEX(Table2[Credits],MATCH(Table1[[#This Row],[Module Code]],Table2[Module Code],0))</f>
        <v>10</v>
      </c>
      <c r="F25" s="11" t="s">
        <v>206</v>
      </c>
      <c r="G25" s="11" t="s">
        <v>229</v>
      </c>
      <c r="H25" s="11" t="s">
        <v>305</v>
      </c>
      <c r="I25" s="11">
        <v>1</v>
      </c>
      <c r="J25" s="11">
        <f>AVERAGE(Table1[[#This Row],[Autumn Week 1]:[Spring Week 12]])*4*Table1[[#This Row],[Credits]]</f>
        <v>1.142857142857143</v>
      </c>
      <c r="K25" s="11"/>
      <c r="L25" s="18"/>
      <c r="M25" s="18"/>
      <c r="N25" s="18">
        <v>2.5000000000000001E-2</v>
      </c>
      <c r="O25" s="18">
        <v>3.5000000000000003E-2</v>
      </c>
      <c r="P25" s="18">
        <v>0.01</v>
      </c>
      <c r="Q25" s="18">
        <v>0.05</v>
      </c>
      <c r="R25" s="18"/>
      <c r="S25" s="18">
        <v>0.03</v>
      </c>
      <c r="T25" s="18"/>
      <c r="U25" s="18">
        <v>2.5000000000000001E-2</v>
      </c>
      <c r="V25" s="18">
        <v>2.5000000000000001E-2</v>
      </c>
      <c r="W25" s="19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7">
        <f>SUMIF(Table1[[#This Row],[Autumn Week 1]:[Spring Week 12]],"&gt;0",Table1[[#This Row],[Autumn Week 1]:[Spring Week 12]])</f>
        <v>0.2</v>
      </c>
      <c r="AL25" s="27">
        <f>IF(Table1[[#This Row],[Hours]]&gt;0,Table1[[#This Row],[Hours]],Table1[[#This Row],[Nominal Hours]])*COUNTIF(Table1[[#This Row],[Autumn Week 1]:[Spring Week 12]],"&gt;0")</f>
        <v>8.0000000000000018</v>
      </c>
    </row>
    <row r="26" spans="1:38">
      <c r="A26" s="4" t="s">
        <v>258</v>
      </c>
      <c r="B26" s="2" t="s">
        <v>257</v>
      </c>
      <c r="C26" s="11" t="s">
        <v>121</v>
      </c>
      <c r="D26" s="29">
        <f>INDEX(Table2[CA weight],MATCH(Table1[[#This Row],[Module Code]],Table2[Module Code],0))</f>
        <v>40</v>
      </c>
      <c r="E26" s="29">
        <f>INDEX(Table2[Credits],MATCH(Table1[[#This Row],[Module Code]],Table2[Module Code],0))</f>
        <v>10</v>
      </c>
      <c r="F26" s="11" t="s">
        <v>263</v>
      </c>
      <c r="G26" s="11" t="s">
        <v>229</v>
      </c>
      <c r="H26" s="11" t="s">
        <v>327</v>
      </c>
      <c r="I26" s="11">
        <v>3</v>
      </c>
      <c r="J26" s="11">
        <f>AVERAGE(Table1[[#This Row],[Autumn Week 1]:[Spring Week 12]])*4*Table1[[#This Row],[Credits]]</f>
        <v>8</v>
      </c>
      <c r="K26" s="11">
        <v>0.5</v>
      </c>
      <c r="L26" s="18"/>
      <c r="M26" s="18"/>
      <c r="N26" s="18"/>
      <c r="O26" s="19"/>
      <c r="P26" s="18"/>
      <c r="Q26" s="18"/>
      <c r="R26" s="18"/>
      <c r="S26" s="19"/>
      <c r="T26" s="18">
        <v>0.2</v>
      </c>
      <c r="U26" s="18"/>
      <c r="V26" s="18"/>
      <c r="W26" s="19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7">
        <f>SUMIF(Table1[[#This Row],[Autumn Week 1]:[Spring Week 12]],"&gt;0",Table1[[#This Row],[Autumn Week 1]:[Spring Week 12]])</f>
        <v>0.2</v>
      </c>
      <c r="AL26" s="27">
        <f>IF(Table1[[#This Row],[Hours]]&gt;0,Table1[[#This Row],[Hours]],Table1[[#This Row],[Nominal Hours]])*COUNTIF(Table1[[#This Row],[Autumn Week 1]:[Spring Week 12]],"&gt;0")</f>
        <v>0.5</v>
      </c>
    </row>
    <row r="27" spans="1:38">
      <c r="A27" s="4" t="s">
        <v>234</v>
      </c>
      <c r="B27" s="2" t="s">
        <v>235</v>
      </c>
      <c r="C27" s="11" t="s">
        <v>5</v>
      </c>
      <c r="D27" s="29">
        <f>INDEX(Table2[CA weight],MATCH(Table1[[#This Row],[Module Code]],Table2[Module Code],0))</f>
        <v>100</v>
      </c>
      <c r="E27" s="29">
        <f>INDEX(Table2[Credits],MATCH(Table1[[#This Row],[Module Code]],Table2[Module Code],0))</f>
        <v>10</v>
      </c>
      <c r="F27" s="11" t="s">
        <v>358</v>
      </c>
      <c r="G27" s="11" t="s">
        <v>229</v>
      </c>
      <c r="H27" s="11" t="s">
        <v>311</v>
      </c>
      <c r="I27" s="11">
        <v>1</v>
      </c>
      <c r="J27" s="11">
        <f>AVERAGE(Table1[[#This Row],[Autumn Week 1]:[Spring Week 12]])*4*Table1[[#This Row],[Credits]]</f>
        <v>0.39999999999999991</v>
      </c>
      <c r="K27" s="11">
        <v>1</v>
      </c>
      <c r="L27" s="18">
        <v>0.01</v>
      </c>
      <c r="M27" s="18">
        <v>0.01</v>
      </c>
      <c r="N27" s="18">
        <v>0.01</v>
      </c>
      <c r="O27" s="18">
        <v>0.01</v>
      </c>
      <c r="P27" s="18">
        <v>0.01</v>
      </c>
      <c r="Q27" s="18">
        <v>0.01</v>
      </c>
      <c r="R27" s="18">
        <v>0.01</v>
      </c>
      <c r="S27" s="18">
        <v>0.01</v>
      </c>
      <c r="T27" s="18">
        <v>0.01</v>
      </c>
      <c r="U27" s="18">
        <v>0.01</v>
      </c>
      <c r="V27" s="18"/>
      <c r="W27" s="19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7">
        <f>SUMIF(Table1[[#This Row],[Autumn Week 1]:[Spring Week 12]],"&gt;0",Table1[[#This Row],[Autumn Week 1]:[Spring Week 12]])</f>
        <v>9.9999999999999992E-2</v>
      </c>
      <c r="AL27" s="27">
        <f>IF(Table1[[#This Row],[Hours]]&gt;0,Table1[[#This Row],[Hours]],Table1[[#This Row],[Nominal Hours]])*COUNTIF(Table1[[#This Row],[Autumn Week 1]:[Spring Week 12]],"&gt;0")</f>
        <v>10</v>
      </c>
    </row>
    <row r="28" spans="1:38">
      <c r="A28" s="4" t="s">
        <v>234</v>
      </c>
      <c r="B28" s="2" t="s">
        <v>235</v>
      </c>
      <c r="C28" s="11" t="s">
        <v>5</v>
      </c>
      <c r="D28" s="29">
        <f>INDEX(Table2[CA weight],MATCH(Table1[[#This Row],[Module Code]],Table2[Module Code],0))</f>
        <v>100</v>
      </c>
      <c r="E28" s="29">
        <f>INDEX(Table2[Credits],MATCH(Table1[[#This Row],[Module Code]],Table2[Module Code],0))</f>
        <v>10</v>
      </c>
      <c r="F28" s="11" t="s">
        <v>350</v>
      </c>
      <c r="G28" s="11" t="s">
        <v>229</v>
      </c>
      <c r="H28" s="11" t="s">
        <v>305</v>
      </c>
      <c r="I28" s="11">
        <v>3</v>
      </c>
      <c r="J28" s="11">
        <f>AVERAGE(Table1[[#This Row],[Autumn Week 1]:[Spring Week 12]])*4*Table1[[#This Row],[Credits]]</f>
        <v>8</v>
      </c>
      <c r="K28" s="11">
        <v>15</v>
      </c>
      <c r="L28" s="18"/>
      <c r="M28" s="18"/>
      <c r="N28" s="18"/>
      <c r="O28" s="19"/>
      <c r="P28" s="18"/>
      <c r="Q28" s="18"/>
      <c r="R28" s="18">
        <v>0.2</v>
      </c>
      <c r="S28" s="19"/>
      <c r="T28" s="18"/>
      <c r="U28" s="18"/>
      <c r="V28" s="18">
        <v>0.2</v>
      </c>
      <c r="W28" s="19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7">
        <f>SUMIF(Table1[[#This Row],[Autumn Week 1]:[Spring Week 12]],"&gt;0",Table1[[#This Row],[Autumn Week 1]:[Spring Week 12]])</f>
        <v>0.4</v>
      </c>
      <c r="AL28" s="27">
        <f>IF(Table1[[#This Row],[Hours]]&gt;0,Table1[[#This Row],[Hours]],Table1[[#This Row],[Nominal Hours]])*COUNTIF(Table1[[#This Row],[Autumn Week 1]:[Spring Week 12]],"&gt;0")</f>
        <v>30</v>
      </c>
    </row>
    <row r="29" spans="1:38">
      <c r="A29" s="4" t="s">
        <v>234</v>
      </c>
      <c r="B29" s="2" t="s">
        <v>235</v>
      </c>
      <c r="C29" s="11" t="s">
        <v>4</v>
      </c>
      <c r="D29" s="29">
        <f>INDEX([1]!Table2[CA weight],MATCH([1]!Table1[[#This Row],[Module Code]],[1]!Table2[Module Code],0))</f>
        <v>100</v>
      </c>
      <c r="E29" s="29">
        <f>INDEX([1]!Table2[Credits],MATCH([1]!Table1[[#This Row],[Module Code]],[1]!Table2[Module Code],0))</f>
        <v>10</v>
      </c>
      <c r="F29" s="11" t="s">
        <v>267</v>
      </c>
      <c r="G29" s="11" t="s">
        <v>229</v>
      </c>
      <c r="H29" s="11" t="s">
        <v>315</v>
      </c>
      <c r="I29" s="11">
        <v>1</v>
      </c>
      <c r="J29" s="11">
        <f>AVERAGE(Table1[[#This Row],[Autumn Week 1]:[Spring Week 12]])*4*Table1[[#This Row],[Credits]]</f>
        <v>20</v>
      </c>
      <c r="K29" s="11">
        <v>0.5</v>
      </c>
      <c r="L29" s="18"/>
      <c r="M29" s="18"/>
      <c r="N29" s="18"/>
      <c r="O29" s="19"/>
      <c r="P29" s="18"/>
      <c r="Q29" s="18"/>
      <c r="R29" s="18"/>
      <c r="S29" s="19"/>
      <c r="T29" s="18"/>
      <c r="U29" s="18"/>
      <c r="V29" s="18"/>
      <c r="W29" s="19">
        <v>0.5</v>
      </c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7">
        <f>SUMIF(Table1[[#This Row],[Autumn Week 1]:[Spring Week 12]],"&gt;0",Table1[[#This Row],[Autumn Week 1]:[Spring Week 12]])</f>
        <v>0.5</v>
      </c>
      <c r="AL29" s="27">
        <f>IF(Table1[[#This Row],[Hours]]&gt;0,Table1[[#This Row],[Hours]],Table1[[#This Row],[Nominal Hours]])*COUNTIF(Table1[[#This Row],[Autumn Week 1]:[Spring Week 12]],"&gt;0")</f>
        <v>0.5</v>
      </c>
    </row>
    <row r="30" spans="1:38">
      <c r="A30" s="4" t="s">
        <v>40</v>
      </c>
      <c r="B30" s="2" t="s">
        <v>41</v>
      </c>
      <c r="C30" s="11" t="s">
        <v>5</v>
      </c>
      <c r="D30" s="29">
        <f>INDEX(Table2[CA weight],MATCH(Table1[[#This Row],[Module Code]],Table2[Module Code],0))</f>
        <v>40</v>
      </c>
      <c r="E30" s="29">
        <f>INDEX(Table2[Credits],MATCH(Table1[[#This Row],[Module Code]],Table2[Module Code],0))</f>
        <v>10</v>
      </c>
      <c r="F30" s="11" t="s">
        <v>206</v>
      </c>
      <c r="G30" s="11" t="s">
        <v>229</v>
      </c>
      <c r="H30" s="11" t="s">
        <v>311</v>
      </c>
      <c r="I30" s="11">
        <v>3</v>
      </c>
      <c r="J30" s="11">
        <f>AVERAGE(Table1[[#This Row],[Autumn Week 1]:[Spring Week 12]])*4*Table1[[#This Row],[Credits]]</f>
        <v>2.6666666666666665</v>
      </c>
      <c r="K30" s="11">
        <v>6</v>
      </c>
      <c r="L30" s="18"/>
      <c r="M30" s="18"/>
      <c r="N30" s="18"/>
      <c r="O30" s="19"/>
      <c r="P30" s="18"/>
      <c r="Q30" s="18">
        <v>0.2</v>
      </c>
      <c r="R30" s="18"/>
      <c r="S30" s="19"/>
      <c r="T30" s="18">
        <v>-0.2</v>
      </c>
      <c r="U30" s="18">
        <v>0.2</v>
      </c>
      <c r="V30" s="18"/>
      <c r="W30" s="19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7">
        <f>SUMIF(Table1[[#This Row],[Autumn Week 1]:[Spring Week 12]],"&gt;0",Table1[[#This Row],[Autumn Week 1]:[Spring Week 12]])</f>
        <v>0.4</v>
      </c>
      <c r="AL30" s="27">
        <f>IF(Table1[[#This Row],[Hours]]&gt;0,Table1[[#This Row],[Hours]],Table1[[#This Row],[Nominal Hours]])*COUNTIF(Table1[[#This Row],[Autumn Week 1]:[Spring Week 12]],"&gt;0")</f>
        <v>12</v>
      </c>
    </row>
    <row r="31" spans="1:38">
      <c r="A31" s="4" t="s">
        <v>44</v>
      </c>
      <c r="B31" s="2" t="s">
        <v>42</v>
      </c>
      <c r="C31" s="11" t="s">
        <v>125</v>
      </c>
      <c r="D31" s="29">
        <f>INDEX(Table2[CA weight],MATCH(Table1[[#This Row],[Module Code]],Table2[Module Code],0))</f>
        <v>100</v>
      </c>
      <c r="E31" s="29">
        <f>INDEX(Table2[Credits],MATCH(Table1[[#This Row],[Module Code]],Table2[Module Code],0))</f>
        <v>10</v>
      </c>
      <c r="F31" s="11" t="s">
        <v>297</v>
      </c>
      <c r="G31" s="11" t="s">
        <v>229</v>
      </c>
      <c r="H31" s="11" t="s">
        <v>351</v>
      </c>
      <c r="I31" s="11">
        <v>1</v>
      </c>
      <c r="J31" s="11">
        <f>AVERAGE(Table1[[#This Row],[Autumn Week 1]:[Spring Week 12]])*4*Table1[[#This Row],[Credits]]</f>
        <v>0.18181818181818185</v>
      </c>
      <c r="K31" s="11"/>
      <c r="L31" s="18">
        <v>1E-3</v>
      </c>
      <c r="M31" s="18">
        <v>1E-3</v>
      </c>
      <c r="N31" s="18">
        <v>1E-3</v>
      </c>
      <c r="O31" s="18">
        <v>1E-3</v>
      </c>
      <c r="P31" s="18">
        <v>1E-3</v>
      </c>
      <c r="Q31" s="18">
        <v>1E-3</v>
      </c>
      <c r="R31" s="18">
        <v>1E-3</v>
      </c>
      <c r="S31" s="18">
        <v>1E-3</v>
      </c>
      <c r="T31" s="18">
        <v>1E-3</v>
      </c>
      <c r="U31" s="18">
        <v>1E-3</v>
      </c>
      <c r="V31" s="18"/>
      <c r="W31" s="19">
        <v>0.04</v>
      </c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7">
        <f>SUMIF(Table1[[#This Row],[Autumn Week 1]:[Spring Week 12]],"&gt;0",Table1[[#This Row],[Autumn Week 1]:[Spring Week 12]])</f>
        <v>0.05</v>
      </c>
      <c r="AL31" s="27">
        <f>IF(Table1[[#This Row],[Hours]]&gt;0,Table1[[#This Row],[Hours]],Table1[[#This Row],[Nominal Hours]])*COUNTIF(Table1[[#This Row],[Autumn Week 1]:[Spring Week 12]],"&gt;0")</f>
        <v>2.0000000000000004</v>
      </c>
    </row>
    <row r="32" spans="1:38">
      <c r="A32" s="4" t="s">
        <v>44</v>
      </c>
      <c r="B32" s="2" t="s">
        <v>42</v>
      </c>
      <c r="C32" s="11" t="s">
        <v>5</v>
      </c>
      <c r="D32" s="29">
        <f>INDEX(Table2[CA weight],MATCH(Table1[[#This Row],[Module Code]],Table2[Module Code],0))</f>
        <v>100</v>
      </c>
      <c r="E32" s="29">
        <f>INDEX(Table2[Credits],MATCH(Table1[[#This Row],[Module Code]],Table2[Module Code],0))</f>
        <v>10</v>
      </c>
      <c r="F32" s="11" t="s">
        <v>298</v>
      </c>
      <c r="G32" s="11" t="s">
        <v>229</v>
      </c>
      <c r="H32" s="11" t="s">
        <v>305</v>
      </c>
      <c r="I32" s="11">
        <v>2</v>
      </c>
      <c r="J32" s="11">
        <f>AVERAGE(Table1[[#This Row],[Autumn Week 1]:[Spring Week 12]])*4*Table1[[#This Row],[Credits]]</f>
        <v>3</v>
      </c>
      <c r="K32" s="11">
        <v>2</v>
      </c>
      <c r="L32" s="18"/>
      <c r="M32" s="18"/>
      <c r="N32" s="18"/>
      <c r="O32" s="19">
        <v>7.4999999999999997E-2</v>
      </c>
      <c r="P32" s="19"/>
      <c r="Q32" s="18"/>
      <c r="R32" s="18"/>
      <c r="S32" s="18">
        <v>7.4999999999999997E-2</v>
      </c>
      <c r="T32" s="18"/>
      <c r="U32" s="18"/>
      <c r="V32" s="18"/>
      <c r="W32" s="19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7">
        <f>SUMIF(Table1[[#This Row],[Autumn Week 1]:[Spring Week 12]],"&gt;0",Table1[[#This Row],[Autumn Week 1]:[Spring Week 12]])</f>
        <v>0.15</v>
      </c>
      <c r="AL32" s="27">
        <f>IF(Table1[[#This Row],[Hours]]&gt;0,Table1[[#This Row],[Hours]],Table1[[#This Row],[Nominal Hours]])*COUNTIF(Table1[[#This Row],[Autumn Week 1]:[Spring Week 12]],"&gt;0")</f>
        <v>4</v>
      </c>
    </row>
    <row r="33" spans="1:38">
      <c r="A33" s="4" t="s">
        <v>44</v>
      </c>
      <c r="B33" s="2" t="s">
        <v>42</v>
      </c>
      <c r="C33" s="11" t="s">
        <v>121</v>
      </c>
      <c r="D33" s="29">
        <f>INDEX(Table2[CA weight],MATCH(Table1[[#This Row],[Module Code]],Table2[Module Code],0))</f>
        <v>100</v>
      </c>
      <c r="E33" s="29">
        <f>INDEX(Table2[Credits],MATCH(Table1[[#This Row],[Module Code]],Table2[Module Code],0))</f>
        <v>10</v>
      </c>
      <c r="F33" s="11" t="s">
        <v>208</v>
      </c>
      <c r="G33" s="11" t="s">
        <v>229</v>
      </c>
      <c r="H33" s="11" t="s">
        <v>305</v>
      </c>
      <c r="I33" s="11">
        <v>3</v>
      </c>
      <c r="J33" s="11">
        <f>AVERAGE(Table1[[#This Row],[Autumn Week 1]:[Spring Week 12]])*4*Table1[[#This Row],[Credits]]</f>
        <v>8</v>
      </c>
      <c r="K33" s="11">
        <v>15</v>
      </c>
      <c r="L33" s="18"/>
      <c r="M33" s="18"/>
      <c r="N33" s="18"/>
      <c r="O33" s="19"/>
      <c r="P33" s="18"/>
      <c r="Q33" s="18"/>
      <c r="R33" s="18">
        <v>0.2</v>
      </c>
      <c r="S33" s="19"/>
      <c r="T33" s="18"/>
      <c r="U33" s="18"/>
      <c r="V33" s="18"/>
      <c r="W33" s="19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7">
        <f>SUMIF(Table1[[#This Row],[Autumn Week 1]:[Spring Week 12]],"&gt;0",Table1[[#This Row],[Autumn Week 1]:[Spring Week 12]])</f>
        <v>0.2</v>
      </c>
      <c r="AL33" s="27">
        <f>IF(Table1[[#This Row],[Hours]]&gt;0,Table1[[#This Row],[Hours]],Table1[[#This Row],[Nominal Hours]])*COUNTIF(Table1[[#This Row],[Autumn Week 1]:[Spring Week 12]],"&gt;0")</f>
        <v>15</v>
      </c>
    </row>
    <row r="34" spans="1:38">
      <c r="A34" s="4" t="s">
        <v>44</v>
      </c>
      <c r="B34" s="2" t="s">
        <v>42</v>
      </c>
      <c r="C34" s="11" t="s">
        <v>122</v>
      </c>
      <c r="D34" s="29">
        <f>INDEX(Table2[CA weight],MATCH(Table1[[#This Row],[Module Code]],Table2[Module Code],0))</f>
        <v>100</v>
      </c>
      <c r="E34" s="29">
        <f>INDEX(Table2[Credits],MATCH(Table1[[#This Row],[Module Code]],Table2[Module Code],0))</f>
        <v>10</v>
      </c>
      <c r="F34" s="11" t="s">
        <v>299</v>
      </c>
      <c r="G34" s="11" t="s">
        <v>229</v>
      </c>
      <c r="H34" s="11" t="s">
        <v>305</v>
      </c>
      <c r="I34" s="11">
        <v>9</v>
      </c>
      <c r="J34" s="11">
        <f>AVERAGE(Table1[[#This Row],[Autumn Week 1]:[Spring Week 12]])*4*Table1[[#This Row],[Credits]]</f>
        <v>24</v>
      </c>
      <c r="K34" s="11">
        <v>9</v>
      </c>
      <c r="L34" s="18"/>
      <c r="M34" s="18"/>
      <c r="N34" s="18"/>
      <c r="O34" s="19"/>
      <c r="P34" s="18"/>
      <c r="Q34" s="18"/>
      <c r="R34" s="18"/>
      <c r="S34" s="19"/>
      <c r="T34" s="18"/>
      <c r="U34" s="18"/>
      <c r="V34" s="18"/>
      <c r="W34" s="19">
        <v>0.6</v>
      </c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7">
        <f>SUMIF(Table1[[#This Row],[Autumn Week 1]:[Spring Week 12]],"&gt;0",Table1[[#This Row],[Autumn Week 1]:[Spring Week 12]])</f>
        <v>0.6</v>
      </c>
      <c r="AL34" s="27">
        <f>IF(Table1[[#This Row],[Hours]]&gt;0,Table1[[#This Row],[Hours]],Table1[[#This Row],[Nominal Hours]])*COUNTIF(Table1[[#This Row],[Autumn Week 1]:[Spring Week 12]],"&gt;0")</f>
        <v>9</v>
      </c>
    </row>
    <row r="35" spans="1:38" ht="14.65" customHeight="1">
      <c r="A35" s="4" t="s">
        <v>45</v>
      </c>
      <c r="B35" s="2" t="s">
        <v>43</v>
      </c>
      <c r="C35" s="11" t="s">
        <v>124</v>
      </c>
      <c r="D35" s="29">
        <f>INDEX(Table2[CA weight],MATCH(Table1[[#This Row],[Module Code]],Table2[Module Code],0))</f>
        <v>35</v>
      </c>
      <c r="E35" s="29">
        <f>INDEX(Table2[Credits],MATCH(Table1[[#This Row],[Module Code]],Table2[Module Code],0))</f>
        <v>10</v>
      </c>
      <c r="F35" s="11" t="s">
        <v>373</v>
      </c>
      <c r="G35" s="11" t="s">
        <v>220</v>
      </c>
      <c r="H35" s="11" t="s">
        <v>351</v>
      </c>
      <c r="I35" s="11">
        <v>1</v>
      </c>
      <c r="J35" s="11">
        <f>AVERAGE(Table1[[#This Row],[Autumn Week 1]:[Spring Week 12]])*4*Table1[[#This Row],[Credits]]</f>
        <v>2</v>
      </c>
      <c r="K35" s="11">
        <v>3</v>
      </c>
      <c r="L35" s="18"/>
      <c r="M35" s="18"/>
      <c r="N35" s="18"/>
      <c r="O35" s="19"/>
      <c r="P35" s="18"/>
      <c r="Q35" s="18">
        <v>0.05</v>
      </c>
      <c r="R35" s="18">
        <v>0.05</v>
      </c>
      <c r="S35" s="18">
        <v>0.05</v>
      </c>
      <c r="T35" s="18">
        <v>0.05</v>
      </c>
      <c r="U35" s="18">
        <v>0.05</v>
      </c>
      <c r="V35" s="18"/>
      <c r="W35" s="19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7">
        <f>SUMIF(Table1[[#This Row],[Autumn Week 1]:[Spring Week 12]],"&gt;0",Table1[[#This Row],[Autumn Week 1]:[Spring Week 12]])</f>
        <v>0.25</v>
      </c>
      <c r="AL35" s="27">
        <f>IF(Table1[[#This Row],[Hours]]&gt;0,Table1[[#This Row],[Hours]],Table1[[#This Row],[Nominal Hours]])*COUNTIF(Table1[[#This Row],[Autumn Week 1]:[Spring Week 12]],"&gt;0")</f>
        <v>15</v>
      </c>
    </row>
    <row r="36" spans="1:38" ht="14.65" customHeight="1">
      <c r="A36" s="4" t="s">
        <v>45</v>
      </c>
      <c r="B36" s="2" t="s">
        <v>43</v>
      </c>
      <c r="C36" s="11" t="s">
        <v>371</v>
      </c>
      <c r="D36" s="29">
        <f>INDEX([1]!Table2[CA weight],MATCH([1]!Table1[[#This Row],[Module Code]],[1]!Table2[Module Code],0))</f>
        <v>100</v>
      </c>
      <c r="E36" s="29">
        <f>INDEX([1]!Table2[Credits],MATCH([1]!Table1[[#This Row],[Module Code]],[1]!Table2[Module Code],0))</f>
        <v>10</v>
      </c>
      <c r="F36" s="11" t="s">
        <v>372</v>
      </c>
      <c r="G36" s="11" t="s">
        <v>229</v>
      </c>
      <c r="H36" s="11" t="s">
        <v>305</v>
      </c>
      <c r="I36" s="11">
        <v>1</v>
      </c>
      <c r="J36" s="11">
        <f>AVERAGE(Table1[[#This Row],[Autumn Week 1]:[Spring Week 12]])*4*Table1[[#This Row],[Credits]]</f>
        <v>6</v>
      </c>
      <c r="K36" s="11">
        <v>3</v>
      </c>
      <c r="L36" s="18"/>
      <c r="M36" s="18"/>
      <c r="N36" s="18"/>
      <c r="O36" s="19"/>
      <c r="P36" s="18"/>
      <c r="Q36" s="18"/>
      <c r="R36" s="18"/>
      <c r="S36" s="19"/>
      <c r="T36" s="18"/>
      <c r="U36" s="18"/>
      <c r="V36" s="18"/>
      <c r="W36" s="19">
        <v>0.15</v>
      </c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7">
        <f>SUMIF(Table1[[#This Row],[Autumn Week 1]:[Spring Week 12]],"&gt;0",Table1[[#This Row],[Autumn Week 1]:[Spring Week 12]])</f>
        <v>0.15</v>
      </c>
      <c r="AL36" s="27">
        <f>IF(Table1[[#This Row],[Hours]]&gt;0,Table1[[#This Row],[Hours]],Table1[[#This Row],[Nominal Hours]])*COUNTIF(Table1[[#This Row],[Autumn Week 1]:[Spring Week 12]],"&gt;0")</f>
        <v>3</v>
      </c>
    </row>
    <row r="37" spans="1:38">
      <c r="A37" s="4" t="s">
        <v>45</v>
      </c>
      <c r="B37" s="2" t="s">
        <v>43</v>
      </c>
      <c r="C37" s="11" t="s">
        <v>5</v>
      </c>
      <c r="D37" s="29">
        <f>INDEX(Table2[CA weight],MATCH(Table1[[#This Row],[Module Code]],Table2[Module Code],0))</f>
        <v>35</v>
      </c>
      <c r="E37" s="29">
        <f>INDEX(Table2[Credits],MATCH(Table1[[#This Row],[Module Code]],Table2[Module Code],0))</f>
        <v>10</v>
      </c>
      <c r="F37" s="11" t="s">
        <v>205</v>
      </c>
      <c r="G37" s="11" t="s">
        <v>229</v>
      </c>
      <c r="H37" s="11" t="s">
        <v>311</v>
      </c>
      <c r="I37" s="11">
        <v>5</v>
      </c>
      <c r="J37" s="11">
        <f>AVERAGE(Table1[[#This Row],[Autumn Week 1]:[Spring Week 12]])*4*Table1[[#This Row],[Credits]]</f>
        <v>8</v>
      </c>
      <c r="K37" s="11"/>
      <c r="L37" s="18"/>
      <c r="M37" s="18"/>
      <c r="N37" s="18"/>
      <c r="O37" s="19"/>
      <c r="P37" s="18"/>
      <c r="Q37" s="18"/>
      <c r="R37" s="18"/>
      <c r="S37" s="19"/>
      <c r="T37" s="18"/>
      <c r="U37" s="18"/>
      <c r="V37" s="18"/>
      <c r="W37" s="19">
        <v>0.2</v>
      </c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7">
        <f>SUMIF(Table1[[#This Row],[Autumn Week 1]:[Spring Week 12]],"&gt;0",Table1[[#This Row],[Autumn Week 1]:[Spring Week 12]])</f>
        <v>0.2</v>
      </c>
      <c r="AL37" s="27">
        <f>IF(Table1[[#This Row],[Hours]]&gt;0,Table1[[#This Row],[Hours]],Table1[[#This Row],[Nominal Hours]])*COUNTIF(Table1[[#This Row],[Autumn Week 1]:[Spring Week 12]],"&gt;0")</f>
        <v>8</v>
      </c>
    </row>
    <row r="38" spans="1:38" ht="28">
      <c r="A38" s="4" t="s">
        <v>49</v>
      </c>
      <c r="B38" s="2" t="s">
        <v>48</v>
      </c>
      <c r="C38" s="11" t="s">
        <v>124</v>
      </c>
      <c r="D38" s="29">
        <f>INDEX(Table2[CA weight],MATCH(Table1[[#This Row],[Module Code]],Table2[Module Code],0))</f>
        <v>100</v>
      </c>
      <c r="E38" s="29">
        <f>INDEX(Table2[Credits],MATCH(Table1[[#This Row],[Module Code]],Table2[Module Code],0))</f>
        <v>10</v>
      </c>
      <c r="F38" s="37" t="s">
        <v>293</v>
      </c>
      <c r="G38" s="11" t="s">
        <v>229</v>
      </c>
      <c r="H38" s="11" t="s">
        <v>360</v>
      </c>
      <c r="I38" s="11">
        <v>3</v>
      </c>
      <c r="J38" s="11">
        <f>AVERAGE(Table1[[#This Row],[Autumn Week 1]:[Spring Week 12]])*4*Table1[[#This Row],[Credits]]</f>
        <v>7.2000000000000011</v>
      </c>
      <c r="K38" s="11">
        <v>6</v>
      </c>
      <c r="L38" s="18"/>
      <c r="M38" s="18"/>
      <c r="N38" s="18"/>
      <c r="O38" s="18">
        <v>0.18</v>
      </c>
      <c r="P38" s="18"/>
      <c r="Q38" s="18"/>
      <c r="R38" s="18">
        <v>0.18</v>
      </c>
      <c r="S38" s="19"/>
      <c r="T38" s="18"/>
      <c r="U38" s="18">
        <v>0.18</v>
      </c>
      <c r="V38" s="18"/>
      <c r="W38" s="19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7">
        <f>SUMIF(Table1[[#This Row],[Autumn Week 1]:[Spring Week 12]],"&gt;0",Table1[[#This Row],[Autumn Week 1]:[Spring Week 12]])</f>
        <v>0.54</v>
      </c>
      <c r="AL38" s="27">
        <f>IF(Table1[[#This Row],[Hours]]&gt;0,Table1[[#This Row],[Hours]],Table1[[#This Row],[Nominal Hours]])*COUNTIF(Table1[[#This Row],[Autumn Week 1]:[Spring Week 12]],"&gt;0")</f>
        <v>18</v>
      </c>
    </row>
    <row r="39" spans="1:38">
      <c r="A39" s="4" t="s">
        <v>49</v>
      </c>
      <c r="B39" s="2" t="s">
        <v>48</v>
      </c>
      <c r="C39" s="11" t="s">
        <v>5</v>
      </c>
      <c r="D39" s="29">
        <f>INDEX(Table2[CA weight],MATCH(Table1[[#This Row],[Module Code]],Table2[Module Code],0))</f>
        <v>100</v>
      </c>
      <c r="E39" s="29">
        <f>INDEX(Table2[Credits],MATCH(Table1[[#This Row],[Module Code]],Table2[Module Code],0))</f>
        <v>10</v>
      </c>
      <c r="F39" s="11" t="s">
        <v>204</v>
      </c>
      <c r="G39" s="11" t="s">
        <v>229</v>
      </c>
      <c r="H39" s="11" t="s">
        <v>360</v>
      </c>
      <c r="I39" s="11">
        <v>1</v>
      </c>
      <c r="J39" s="11">
        <f>AVERAGE(Table1[[#This Row],[Autumn Week 1]:[Spring Week 12]])*4*Table1[[#This Row],[Credits]]</f>
        <v>4</v>
      </c>
      <c r="K39" s="11">
        <v>1</v>
      </c>
      <c r="L39" s="18"/>
      <c r="M39" s="18">
        <v>0.1</v>
      </c>
      <c r="N39" s="18"/>
      <c r="O39" s="19"/>
      <c r="P39" s="18"/>
      <c r="Q39" s="18"/>
      <c r="R39" s="18"/>
      <c r="S39" s="19"/>
      <c r="T39" s="18"/>
      <c r="U39" s="18"/>
      <c r="V39" s="18"/>
      <c r="W39" s="19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7">
        <f>SUMIF(Table1[[#This Row],[Autumn Week 1]:[Spring Week 12]],"&gt;0",Table1[[#This Row],[Autumn Week 1]:[Spring Week 12]])</f>
        <v>0.1</v>
      </c>
      <c r="AL39" s="27">
        <f>IF(Table1[[#This Row],[Hours]]&gt;0,Table1[[#This Row],[Hours]],Table1[[#This Row],[Nominal Hours]])*COUNTIF(Table1[[#This Row],[Autumn Week 1]:[Spring Week 12]],"&gt;0")</f>
        <v>1</v>
      </c>
    </row>
    <row r="40" spans="1:38">
      <c r="A40" s="4" t="s">
        <v>49</v>
      </c>
      <c r="B40" s="2" t="s">
        <v>48</v>
      </c>
      <c r="C40" s="11" t="s">
        <v>5</v>
      </c>
      <c r="D40" s="29">
        <f>INDEX(Table2[CA weight],MATCH(Table1[[#This Row],[Module Code]],Table2[Module Code],0))</f>
        <v>100</v>
      </c>
      <c r="E40" s="29">
        <f>INDEX(Table2[Credits],MATCH(Table1[[#This Row],[Module Code]],Table2[Module Code],0))</f>
        <v>10</v>
      </c>
      <c r="F40" s="11" t="s">
        <v>205</v>
      </c>
      <c r="G40" s="11" t="s">
        <v>229</v>
      </c>
      <c r="H40" s="11" t="s">
        <v>305</v>
      </c>
      <c r="I40" s="11">
        <v>3</v>
      </c>
      <c r="J40" s="11">
        <f>AVERAGE(Table1[[#This Row],[Autumn Week 1]:[Spring Week 12]])*4*Table1[[#This Row],[Credits]]</f>
        <v>12</v>
      </c>
      <c r="K40" s="11">
        <v>15</v>
      </c>
      <c r="L40" s="18"/>
      <c r="M40" s="18"/>
      <c r="N40" s="18"/>
      <c r="O40" s="19"/>
      <c r="P40" s="18"/>
      <c r="Q40" s="18"/>
      <c r="R40" s="18"/>
      <c r="S40" s="19"/>
      <c r="T40" s="18"/>
      <c r="U40" s="18"/>
      <c r="V40" s="18">
        <v>0.3</v>
      </c>
      <c r="W40" s="19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7">
        <f>SUMIF(Table1[[#This Row],[Autumn Week 1]:[Spring Week 12]],"&gt;0",Table1[[#This Row],[Autumn Week 1]:[Spring Week 12]])</f>
        <v>0.3</v>
      </c>
      <c r="AL40" s="27">
        <f>IF(Table1[[#This Row],[Hours]]&gt;0,Table1[[#This Row],[Hours]],Table1[[#This Row],[Nominal Hours]])*COUNTIF(Table1[[#This Row],[Autumn Week 1]:[Spring Week 12]],"&gt;0")</f>
        <v>15</v>
      </c>
    </row>
    <row r="41" spans="1:38">
      <c r="A41" s="4" t="s">
        <v>49</v>
      </c>
      <c r="B41" s="2" t="s">
        <v>48</v>
      </c>
      <c r="C41" s="11" t="s">
        <v>5</v>
      </c>
      <c r="D41" s="29">
        <f>INDEX(Table2[CA weight],MATCH(Table1[[#This Row],[Module Code]],Table2[Module Code],0))</f>
        <v>100</v>
      </c>
      <c r="E41" s="29">
        <f>INDEX(Table2[Credits],MATCH(Table1[[#This Row],[Module Code]],Table2[Module Code],0))</f>
        <v>10</v>
      </c>
      <c r="F41" s="11" t="s">
        <v>260</v>
      </c>
      <c r="G41" s="11" t="s">
        <v>229</v>
      </c>
      <c r="H41" s="11" t="s">
        <v>305</v>
      </c>
      <c r="I41" s="11">
        <v>9</v>
      </c>
      <c r="J41" s="11">
        <f>AVERAGE(Table1[[#This Row],[Autumn Week 1]:[Spring Week 12]])*4*Table1[[#This Row],[Credits]]</f>
        <v>2.4</v>
      </c>
      <c r="K41" s="11"/>
      <c r="L41" s="18"/>
      <c r="M41" s="18"/>
      <c r="N41" s="18"/>
      <c r="O41" s="19"/>
      <c r="P41" s="18"/>
      <c r="Q41" s="18"/>
      <c r="R41" s="18"/>
      <c r="S41" s="19"/>
      <c r="T41" s="18"/>
      <c r="U41" s="18"/>
      <c r="V41" s="18">
        <v>0.06</v>
      </c>
      <c r="W41" s="19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7">
        <f>SUMIF(Table1[[#This Row],[Autumn Week 1]:[Spring Week 12]],"&gt;0",Table1[[#This Row],[Autumn Week 1]:[Spring Week 12]])</f>
        <v>0.06</v>
      </c>
      <c r="AL41" s="27">
        <f>IF(Table1[[#This Row],[Hours]]&gt;0,Table1[[#This Row],[Hours]],Table1[[#This Row],[Nominal Hours]])*COUNTIF(Table1[[#This Row],[Autumn Week 1]:[Spring Week 12]],"&gt;0")</f>
        <v>2.4</v>
      </c>
    </row>
    <row r="42" spans="1:38">
      <c r="A42" s="4" t="s">
        <v>51</v>
      </c>
      <c r="B42" s="2" t="s">
        <v>50</v>
      </c>
      <c r="C42" s="11" t="s">
        <v>124</v>
      </c>
      <c r="D42" s="29">
        <f>INDEX(Table2[CA weight],MATCH(Table1[[#This Row],[Module Code]],Table2[Module Code],0))</f>
        <v>100</v>
      </c>
      <c r="E42" s="29">
        <f>INDEX(Table2[Credits],MATCH(Table1[[#This Row],[Module Code]],Table2[Module Code],0))</f>
        <v>20</v>
      </c>
      <c r="F42" s="11" t="s">
        <v>346</v>
      </c>
      <c r="G42" s="11" t="s">
        <v>220</v>
      </c>
      <c r="H42" s="11" t="s">
        <v>360</v>
      </c>
      <c r="I42" s="11">
        <v>1</v>
      </c>
      <c r="J42" s="11">
        <f>AVERAGE(Table1[[#This Row],[Autumn Week 1]:[Spring Week 12]])*4*Table1[[#This Row],[Credits]]</f>
        <v>4.0000000000000018</v>
      </c>
      <c r="K42" s="11">
        <v>0.5</v>
      </c>
      <c r="L42" s="18">
        <v>0.05</v>
      </c>
      <c r="M42" s="18">
        <v>0.05</v>
      </c>
      <c r="N42" s="18">
        <v>0.05</v>
      </c>
      <c r="O42" s="18">
        <v>0.05</v>
      </c>
      <c r="P42" s="18">
        <v>0.05</v>
      </c>
      <c r="Q42" s="18">
        <v>0.05</v>
      </c>
      <c r="R42" s="18">
        <v>0.05</v>
      </c>
      <c r="S42" s="18">
        <v>0.05</v>
      </c>
      <c r="T42" s="18">
        <v>0.05</v>
      </c>
      <c r="U42" s="18">
        <v>0.05</v>
      </c>
      <c r="V42" s="18"/>
      <c r="W42" s="19"/>
      <c r="X42" s="20">
        <v>0.05</v>
      </c>
      <c r="Y42" s="20">
        <v>0.05</v>
      </c>
      <c r="Z42" s="20">
        <v>0.05</v>
      </c>
      <c r="AA42" s="20">
        <v>0.05</v>
      </c>
      <c r="AB42" s="20">
        <v>0.05</v>
      </c>
      <c r="AC42" s="20">
        <v>0.05</v>
      </c>
      <c r="AD42" s="20">
        <v>0.05</v>
      </c>
      <c r="AE42" s="20">
        <v>0.05</v>
      </c>
      <c r="AF42" s="20">
        <v>0.05</v>
      </c>
      <c r="AG42" s="20"/>
      <c r="AH42" s="20"/>
      <c r="AI42" s="20"/>
      <c r="AJ42" s="20"/>
      <c r="AK42" s="27">
        <f>SUMIF(Table1[[#This Row],[Autumn Week 1]:[Spring Week 12]],"&gt;0",Table1[[#This Row],[Autumn Week 1]:[Spring Week 12]])</f>
        <v>0.95000000000000029</v>
      </c>
      <c r="AL42" s="27">
        <f>IF(Table1[[#This Row],[Hours]]&gt;0,Table1[[#This Row],[Hours]],Table1[[#This Row],[Nominal Hours]])*COUNTIF(Table1[[#This Row],[Autumn Week 1]:[Spring Week 12]],"&gt;0")</f>
        <v>9.5</v>
      </c>
    </row>
    <row r="43" spans="1:38">
      <c r="A43" s="4" t="s">
        <v>51</v>
      </c>
      <c r="B43" s="2" t="s">
        <v>50</v>
      </c>
      <c r="C43" s="11" t="s">
        <v>5</v>
      </c>
      <c r="D43" s="29">
        <f>INDEX(Table2[CA weight],MATCH(Table1[[#This Row],[Module Code]],Table2[Module Code],0))</f>
        <v>100</v>
      </c>
      <c r="E43" s="29">
        <f>INDEX(Table2[Credits],MATCH(Table1[[#This Row],[Module Code]],Table2[Module Code],0))</f>
        <v>20</v>
      </c>
      <c r="F43" s="11" t="s">
        <v>347</v>
      </c>
      <c r="G43" s="11" t="s">
        <v>229</v>
      </c>
      <c r="H43" s="11" t="s">
        <v>360</v>
      </c>
      <c r="I43" s="11">
        <v>1</v>
      </c>
      <c r="J43" s="11">
        <f>AVERAGE(Table1[[#This Row],[Autumn Week 1]:[Spring Week 12]])*4*Table1[[#This Row],[Credits]]</f>
        <v>4</v>
      </c>
      <c r="K43" s="11">
        <v>1</v>
      </c>
      <c r="L43" s="18"/>
      <c r="M43" s="18">
        <v>0.05</v>
      </c>
      <c r="N43" s="18"/>
      <c r="O43" s="19"/>
      <c r="P43" s="18"/>
      <c r="Q43" s="18"/>
      <c r="R43" s="18"/>
      <c r="S43" s="19"/>
      <c r="T43" s="18"/>
      <c r="U43" s="18"/>
      <c r="V43" s="18"/>
      <c r="W43" s="19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7">
        <f>SUMIF(Table1[[#This Row],[Autumn Week 1]:[Spring Week 12]],"&gt;0",Table1[[#This Row],[Autumn Week 1]:[Spring Week 12]])</f>
        <v>0.05</v>
      </c>
      <c r="AL43" s="27">
        <f>IF(Table1[[#This Row],[Hours]]&gt;0,Table1[[#This Row],[Hours]],Table1[[#This Row],[Nominal Hours]])*COUNTIF(Table1[[#This Row],[Autumn Week 1]:[Spring Week 12]],"&gt;0")</f>
        <v>1</v>
      </c>
    </row>
    <row r="44" spans="1:38">
      <c r="A44" s="4" t="s">
        <v>51</v>
      </c>
      <c r="B44" s="2" t="s">
        <v>50</v>
      </c>
      <c r="C44" s="11" t="s">
        <v>124</v>
      </c>
      <c r="D44" s="29">
        <f>INDEX(Table2[CA weight],MATCH(Table1[[#This Row],[Module Code]],Table2[Module Code],0))</f>
        <v>100</v>
      </c>
      <c r="E44" s="29">
        <f>INDEX(Table2[Credits],MATCH(Table1[[#This Row],[Module Code]],Table2[Module Code],0))</f>
        <v>20</v>
      </c>
      <c r="F44" s="11" t="s">
        <v>348</v>
      </c>
      <c r="G44" s="11" t="s">
        <v>229</v>
      </c>
      <c r="H44" s="11" t="s">
        <v>360</v>
      </c>
      <c r="I44" s="11">
        <v>3</v>
      </c>
      <c r="J44" s="11">
        <f>AVERAGE(Table1[[#This Row],[Autumn Week 1]:[Spring Week 12]])*4*Table1[[#This Row],[Credits]]</f>
        <v>8.0000000000000018</v>
      </c>
      <c r="K44" s="11">
        <v>6</v>
      </c>
      <c r="L44" s="18"/>
      <c r="M44" s="18"/>
      <c r="N44" s="18"/>
      <c r="O44" s="19">
        <v>0.1</v>
      </c>
      <c r="P44" s="18"/>
      <c r="Q44" s="18"/>
      <c r="R44" s="18">
        <v>0.1</v>
      </c>
      <c r="S44" s="19"/>
      <c r="T44" s="18"/>
      <c r="U44" s="18">
        <v>0.1</v>
      </c>
      <c r="V44" s="18"/>
      <c r="W44" s="19"/>
      <c r="X44" s="22"/>
      <c r="Y44" s="22"/>
      <c r="Z44" s="22"/>
      <c r="AA44" s="20"/>
      <c r="AB44" s="22"/>
      <c r="AC44" s="20"/>
      <c r="AD44" s="22"/>
      <c r="AE44" s="20"/>
      <c r="AF44" s="22"/>
      <c r="AG44" s="22"/>
      <c r="AH44" s="22"/>
      <c r="AI44" s="20"/>
      <c r="AJ44" s="20"/>
      <c r="AK44" s="27">
        <f>SUMIF(Table1[[#This Row],[Autumn Week 1]:[Spring Week 12]],"&gt;0",Table1[[#This Row],[Autumn Week 1]:[Spring Week 12]])</f>
        <v>0.30000000000000004</v>
      </c>
      <c r="AL44" s="27">
        <f>IF(Table1[[#This Row],[Hours]]&gt;0,Table1[[#This Row],[Hours]],Table1[[#This Row],[Nominal Hours]])*COUNTIF(Table1[[#This Row],[Autumn Week 1]:[Spring Week 12]],"&gt;0")</f>
        <v>18</v>
      </c>
    </row>
    <row r="45" spans="1:38">
      <c r="A45" s="4" t="s">
        <v>51</v>
      </c>
      <c r="B45" s="2" t="s">
        <v>50</v>
      </c>
      <c r="C45" s="11" t="s">
        <v>124</v>
      </c>
      <c r="D45" s="29">
        <f>INDEX(Table2[CA weight],MATCH(Table1[[#This Row],[Module Code]],Table2[Module Code],0))</f>
        <v>100</v>
      </c>
      <c r="E45" s="29">
        <f>INDEX(Table2[Credits],MATCH(Table1[[#This Row],[Module Code]],Table2[Module Code],0))</f>
        <v>20</v>
      </c>
      <c r="F45" s="11" t="s">
        <v>348</v>
      </c>
      <c r="G45" s="11" t="s">
        <v>229</v>
      </c>
      <c r="H45" s="11" t="s">
        <v>360</v>
      </c>
      <c r="I45" s="11">
        <v>3</v>
      </c>
      <c r="J45" s="11">
        <f>AVERAGE(Table1[[#This Row],[Autumn Week 1]:[Spring Week 12]])*4*Table1[[#This Row],[Credits]]</f>
        <v>8.0000000000000018</v>
      </c>
      <c r="K45" s="11">
        <v>6</v>
      </c>
      <c r="L45" s="18"/>
      <c r="M45" s="18"/>
      <c r="N45" s="18"/>
      <c r="O45" s="19"/>
      <c r="P45" s="18"/>
      <c r="Q45" s="18"/>
      <c r="R45" s="18"/>
      <c r="S45" s="19"/>
      <c r="T45" s="18"/>
      <c r="U45" s="18"/>
      <c r="V45" s="18"/>
      <c r="W45" s="19"/>
      <c r="X45" s="20"/>
      <c r="Y45" s="20"/>
      <c r="Z45" s="22">
        <v>0.1</v>
      </c>
      <c r="AA45" s="20"/>
      <c r="AB45" s="22"/>
      <c r="AC45" s="20">
        <v>0.1</v>
      </c>
      <c r="AD45" s="22"/>
      <c r="AE45" s="20"/>
      <c r="AF45" s="22">
        <v>0.1</v>
      </c>
      <c r="AG45" s="20"/>
      <c r="AH45" s="20"/>
      <c r="AI45" s="20"/>
      <c r="AJ45" s="20"/>
      <c r="AK45" s="27">
        <f>SUMIF(Table1[[#This Row],[Autumn Week 1]:[Spring Week 12]],"&gt;0",Table1[[#This Row],[Autumn Week 1]:[Spring Week 12]])</f>
        <v>0.30000000000000004</v>
      </c>
      <c r="AL45" s="27">
        <f>IF(Table1[[#This Row],[Hours]]&gt;0,Table1[[#This Row],[Hours]],Table1[[#This Row],[Nominal Hours]])*COUNTIF(Table1[[#This Row],[Autumn Week 1]:[Spring Week 12]],"&gt;0")</f>
        <v>18</v>
      </c>
    </row>
    <row r="46" spans="1:38">
      <c r="A46" s="4" t="s">
        <v>51</v>
      </c>
      <c r="B46" s="2" t="s">
        <v>50</v>
      </c>
      <c r="C46" s="11" t="s">
        <v>122</v>
      </c>
      <c r="D46" s="29">
        <f>INDEX(Table2[CA weight],MATCH(Table1[[#This Row],[Module Code]],Table2[Module Code],0))</f>
        <v>100</v>
      </c>
      <c r="E46" s="29">
        <f>INDEX(Table2[Credits],MATCH(Table1[[#This Row],[Module Code]],Table2[Module Code],0))</f>
        <v>20</v>
      </c>
      <c r="F46" s="11" t="s">
        <v>260</v>
      </c>
      <c r="G46" s="11" t="s">
        <v>229</v>
      </c>
      <c r="H46" s="11" t="s">
        <v>305</v>
      </c>
      <c r="I46" s="11">
        <v>11</v>
      </c>
      <c r="J46" s="11">
        <f>AVERAGE(Table1[[#This Row],[Autumn Week 1]:[Spring Week 12]])*4*Table1[[#This Row],[Credits]]</f>
        <v>4</v>
      </c>
      <c r="K46" s="11">
        <v>0.5</v>
      </c>
      <c r="L46" s="18"/>
      <c r="M46" s="18"/>
      <c r="N46" s="18"/>
      <c r="O46" s="19"/>
      <c r="P46" s="18"/>
      <c r="Q46" s="18"/>
      <c r="R46" s="18"/>
      <c r="S46" s="19"/>
      <c r="T46" s="18"/>
      <c r="U46" s="18"/>
      <c r="V46" s="18"/>
      <c r="W46" s="19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>
        <v>0.05</v>
      </c>
      <c r="AI46" s="22"/>
      <c r="AJ46" s="22"/>
      <c r="AK46" s="27">
        <f>SUMIF(Table1[[#This Row],[Autumn Week 1]:[Spring Week 12]],"&gt;0",Table1[[#This Row],[Autumn Week 1]:[Spring Week 12]])</f>
        <v>0.05</v>
      </c>
      <c r="AL46" s="27">
        <f>IF(Table1[[#This Row],[Hours]]&gt;0,Table1[[#This Row],[Hours]],Table1[[#This Row],[Nominal Hours]])*COUNTIF(Table1[[#This Row],[Autumn Week 1]:[Spring Week 12]],"&gt;0")</f>
        <v>0.5</v>
      </c>
    </row>
    <row r="47" spans="1:38">
      <c r="A47" s="4" t="s">
        <v>51</v>
      </c>
      <c r="B47" s="2" t="s">
        <v>50</v>
      </c>
      <c r="C47" s="11" t="s">
        <v>5</v>
      </c>
      <c r="D47" s="29">
        <f>INDEX(Table2[CA weight],MATCH(Table1[[#This Row],[Module Code]],Table2[Module Code],0))</f>
        <v>100</v>
      </c>
      <c r="E47" s="29">
        <f>INDEX(Table2[Credits],MATCH(Table1[[#This Row],[Module Code]],Table2[Module Code],0))</f>
        <v>20</v>
      </c>
      <c r="F47" s="11" t="s">
        <v>205</v>
      </c>
      <c r="G47" s="11" t="s">
        <v>229</v>
      </c>
      <c r="H47" s="11" t="s">
        <v>305</v>
      </c>
      <c r="I47" s="11">
        <v>4</v>
      </c>
      <c r="J47" s="11">
        <f>AVERAGE(Table1[[#This Row],[Autumn Week 1]:[Spring Week 12]])*4*Table1[[#This Row],[Credits]]</f>
        <v>24</v>
      </c>
      <c r="K47" s="11">
        <v>15</v>
      </c>
      <c r="L47" s="18"/>
      <c r="M47" s="18"/>
      <c r="N47" s="18"/>
      <c r="O47" s="19"/>
      <c r="P47" s="18"/>
      <c r="Q47" s="18"/>
      <c r="R47" s="18"/>
      <c r="S47" s="19"/>
      <c r="T47" s="18"/>
      <c r="U47" s="18"/>
      <c r="V47" s="18"/>
      <c r="W47" s="19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>
        <v>0.3</v>
      </c>
      <c r="AI47" s="20"/>
      <c r="AJ47" s="20"/>
      <c r="AK47" s="27">
        <f>SUMIF(Table1[[#This Row],[Autumn Week 1]:[Spring Week 12]],"&gt;0",Table1[[#This Row],[Autumn Week 1]:[Spring Week 12]])</f>
        <v>0.3</v>
      </c>
      <c r="AL47" s="27">
        <f>IF(Table1[[#This Row],[Hours]]&gt;0,Table1[[#This Row],[Hours]],Table1[[#This Row],[Nominal Hours]])*COUNTIF(Table1[[#This Row],[Autumn Week 1]:[Spring Week 12]],"&gt;0")</f>
        <v>15</v>
      </c>
    </row>
    <row r="48" spans="1:38">
      <c r="A48" s="4" t="s">
        <v>53</v>
      </c>
      <c r="B48" s="2" t="s">
        <v>52</v>
      </c>
      <c r="C48" s="11" t="s">
        <v>124</v>
      </c>
      <c r="D48" s="29">
        <f>INDEX(Table2[CA weight],MATCH(Table1[[#This Row],[Module Code]],Table2[Module Code],0))</f>
        <v>100</v>
      </c>
      <c r="E48" s="29">
        <f>INDEX(Table2[Credits],MATCH(Table1[[#This Row],[Module Code]],Table2[Module Code],0))</f>
        <v>20</v>
      </c>
      <c r="F48" s="11" t="s">
        <v>346</v>
      </c>
      <c r="G48" s="11" t="s">
        <v>220</v>
      </c>
      <c r="H48" s="11" t="s">
        <v>361</v>
      </c>
      <c r="I48" s="11">
        <v>1</v>
      </c>
      <c r="J48" s="11">
        <f>AVERAGE(Table1[[#This Row],[Autumn Week 1]:[Spring Week 12]])*4*Table1[[#This Row],[Credits]]</f>
        <v>4.0000000000000009</v>
      </c>
      <c r="K48" s="11">
        <v>0.5</v>
      </c>
      <c r="L48" s="18">
        <v>0.05</v>
      </c>
      <c r="M48" s="18">
        <v>0.05</v>
      </c>
      <c r="N48" s="18">
        <v>0.05</v>
      </c>
      <c r="O48" s="18">
        <v>0.05</v>
      </c>
      <c r="P48" s="18">
        <v>0.05</v>
      </c>
      <c r="Q48" s="18">
        <v>0.05</v>
      </c>
      <c r="R48" s="18">
        <v>0.05</v>
      </c>
      <c r="S48" s="18">
        <v>0.05</v>
      </c>
      <c r="T48" s="18">
        <v>0.05</v>
      </c>
      <c r="U48" s="18">
        <v>0.05</v>
      </c>
      <c r="V48" s="18"/>
      <c r="W48" s="19"/>
      <c r="X48" s="20">
        <v>0.05</v>
      </c>
      <c r="Y48" s="20">
        <v>0.05</v>
      </c>
      <c r="Z48" s="20">
        <v>0.05</v>
      </c>
      <c r="AA48" s="20">
        <v>0.05</v>
      </c>
      <c r="AB48" s="20">
        <v>0.05</v>
      </c>
      <c r="AC48" s="20">
        <v>0.05</v>
      </c>
      <c r="AD48" s="20">
        <v>0.05</v>
      </c>
      <c r="AE48" s="20">
        <v>0.05</v>
      </c>
      <c r="AF48" s="20">
        <v>0.05</v>
      </c>
      <c r="AG48" s="20">
        <v>0.05</v>
      </c>
      <c r="AH48" s="20"/>
      <c r="AI48" s="20"/>
      <c r="AJ48" s="20"/>
      <c r="AK48" s="27">
        <f>SUMIF(Table1[[#This Row],[Autumn Week 1]:[Spring Week 12]],"&gt;0",Table1[[#This Row],[Autumn Week 1]:[Spring Week 12]])</f>
        <v>1.0000000000000002</v>
      </c>
      <c r="AL48" s="27">
        <f>IF(Table1[[#This Row],[Hours]]&gt;0,Table1[[#This Row],[Hours]],Table1[[#This Row],[Nominal Hours]])*COUNTIF(Table1[[#This Row],[Autumn Week 1]:[Spring Week 12]],"&gt;0")</f>
        <v>10</v>
      </c>
    </row>
    <row r="49" spans="1:38">
      <c r="A49" s="4" t="s">
        <v>53</v>
      </c>
      <c r="B49" s="2" t="s">
        <v>52</v>
      </c>
      <c r="C49" s="11" t="s">
        <v>124</v>
      </c>
      <c r="D49" s="29">
        <f>INDEX(Table2[CA weight],MATCH(Table1[[#This Row],[Module Code]],Table2[Module Code],0))</f>
        <v>100</v>
      </c>
      <c r="E49" s="29">
        <f>INDEX(Table2[Credits],MATCH(Table1[[#This Row],[Module Code]],Table2[Module Code],0))</f>
        <v>20</v>
      </c>
      <c r="F49" s="11" t="s">
        <v>262</v>
      </c>
      <c r="G49" s="11" t="s">
        <v>229</v>
      </c>
      <c r="H49" s="11" t="s">
        <v>361</v>
      </c>
      <c r="I49" s="11">
        <v>2</v>
      </c>
      <c r="J49" s="11">
        <f>AVERAGE(Table1[[#This Row],[Autumn Week 1]:[Spring Week 12]])*4*Table1[[#This Row],[Credits]]</f>
        <v>8</v>
      </c>
      <c r="K49" s="11">
        <v>6</v>
      </c>
      <c r="L49" s="18"/>
      <c r="M49" s="18"/>
      <c r="N49" s="18"/>
      <c r="O49" s="19">
        <v>0.1</v>
      </c>
      <c r="P49" s="18"/>
      <c r="Q49" s="18"/>
      <c r="R49" s="18"/>
      <c r="S49" s="19"/>
      <c r="T49" s="18"/>
      <c r="U49" s="18"/>
      <c r="V49" s="18">
        <v>0.1</v>
      </c>
      <c r="W49" s="19"/>
      <c r="X49" s="22"/>
      <c r="Y49" s="22"/>
      <c r="Z49" s="22">
        <v>0.1</v>
      </c>
      <c r="AA49" s="22"/>
      <c r="AB49" s="22">
        <v>0.1</v>
      </c>
      <c r="AC49" s="22"/>
      <c r="AD49" s="22"/>
      <c r="AE49" s="22"/>
      <c r="AF49" s="22"/>
      <c r="AG49" s="22"/>
      <c r="AH49" s="22"/>
      <c r="AI49" s="20"/>
      <c r="AJ49" s="20"/>
      <c r="AK49" s="27">
        <f>SUMIF(Table1[[#This Row],[Autumn Week 1]:[Spring Week 12]],"&gt;0",Table1[[#This Row],[Autumn Week 1]:[Spring Week 12]])</f>
        <v>0.4</v>
      </c>
      <c r="AL49" s="27">
        <f>IF(Table1[[#This Row],[Hours]]&gt;0,Table1[[#This Row],[Hours]],Table1[[#This Row],[Nominal Hours]])*COUNTIF(Table1[[#This Row],[Autumn Week 1]:[Spring Week 12]],"&gt;0")</f>
        <v>24</v>
      </c>
    </row>
    <row r="50" spans="1:38">
      <c r="A50" s="4" t="s">
        <v>53</v>
      </c>
      <c r="B50" s="2" t="s">
        <v>52</v>
      </c>
      <c r="C50" s="11" t="s">
        <v>5</v>
      </c>
      <c r="D50" s="29">
        <f>INDEX([1]!Table2[CA weight],MATCH([1]!Table1[[#This Row],[Module Code]],[1]!Table2[Module Code],0))</f>
        <v>100</v>
      </c>
      <c r="E50" s="29">
        <f>INDEX([1]!Table2[Credits],MATCH([1]!Table1[[#This Row],[Module Code]],[1]!Table2[Module Code],0))</f>
        <v>20</v>
      </c>
      <c r="F50" s="11" t="s">
        <v>204</v>
      </c>
      <c r="G50" s="11" t="s">
        <v>229</v>
      </c>
      <c r="H50" s="11" t="s">
        <v>361</v>
      </c>
      <c r="I50" s="11">
        <v>2</v>
      </c>
      <c r="J50" s="11">
        <f>AVERAGE(Table1[[#This Row],[Autumn Week 1]:[Spring Week 12]])*4*Table1[[#This Row],[Credits]]</f>
        <v>8</v>
      </c>
      <c r="K50" s="11"/>
      <c r="L50" s="18"/>
      <c r="M50" s="18"/>
      <c r="N50" s="18"/>
      <c r="O50" s="19"/>
      <c r="P50" s="18"/>
      <c r="Q50" s="18">
        <v>0.1</v>
      </c>
      <c r="R50" s="18"/>
      <c r="S50" s="19"/>
      <c r="T50" s="18"/>
      <c r="U50" s="18"/>
      <c r="V50" s="18"/>
      <c r="W50" s="19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7">
        <f>SUMIF(Table1[[#This Row],[Autumn Week 1]:[Spring Week 12]],"&gt;0",Table1[[#This Row],[Autumn Week 1]:[Spring Week 12]])</f>
        <v>0.1</v>
      </c>
      <c r="AL50" s="27">
        <f>IF(Table1[[#This Row],[Hours]]&gt;0,Table1[[#This Row],[Hours]],Table1[[#This Row],[Nominal Hours]])*COUNTIF(Table1[[#This Row],[Autumn Week 1]:[Spring Week 12]],"&gt;0")</f>
        <v>8</v>
      </c>
    </row>
    <row r="51" spans="1:38">
      <c r="A51" s="4" t="s">
        <v>53</v>
      </c>
      <c r="B51" s="2" t="s">
        <v>52</v>
      </c>
      <c r="C51" s="11" t="s">
        <v>5</v>
      </c>
      <c r="D51" s="29">
        <f>INDEX([1]!Table2[CA weight],MATCH([1]!Table1[[#This Row],[Module Code]],[1]!Table2[Module Code],0))</f>
        <v>100</v>
      </c>
      <c r="E51" s="29">
        <f>INDEX([1]!Table2[Credits],MATCH([1]!Table1[[#This Row],[Module Code]],[1]!Table2[Module Code],0))</f>
        <v>20</v>
      </c>
      <c r="F51" s="11" t="s">
        <v>203</v>
      </c>
      <c r="G51" s="11" t="s">
        <v>229</v>
      </c>
      <c r="H51" s="11" t="s">
        <v>305</v>
      </c>
      <c r="I51" s="11">
        <v>3</v>
      </c>
      <c r="J51" s="11">
        <f>AVERAGE(Table1[[#This Row],[Autumn Week 1]:[Spring Week 12]])*4*Table1[[#This Row],[Credits]]</f>
        <v>16</v>
      </c>
      <c r="K51" s="11">
        <v>10</v>
      </c>
      <c r="L51" s="18"/>
      <c r="M51" s="18"/>
      <c r="N51" s="18"/>
      <c r="O51" s="19"/>
      <c r="P51" s="18"/>
      <c r="Q51" s="18"/>
      <c r="R51" s="18"/>
      <c r="S51" s="19"/>
      <c r="T51" s="18">
        <v>0.2</v>
      </c>
      <c r="U51" s="18"/>
      <c r="V51" s="18"/>
      <c r="W51" s="19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7">
        <f>SUMIF(Table1[[#This Row],[Autumn Week 1]:[Spring Week 12]],"&gt;0",Table1[[#This Row],[Autumn Week 1]:[Spring Week 12]])</f>
        <v>0.2</v>
      </c>
      <c r="AL51" s="27">
        <f>IF(Table1[[#This Row],[Hours]]&gt;0,Table1[[#This Row],[Hours]],Table1[[#This Row],[Nominal Hours]])*COUNTIF(Table1[[#This Row],[Autumn Week 1]:[Spring Week 12]],"&gt;0")</f>
        <v>10</v>
      </c>
    </row>
    <row r="52" spans="1:38">
      <c r="A52" s="4" t="s">
        <v>53</v>
      </c>
      <c r="B52" s="2" t="s">
        <v>52</v>
      </c>
      <c r="C52" s="11" t="s">
        <v>121</v>
      </c>
      <c r="D52" s="29">
        <f>INDEX([1]!Table2[CA weight],MATCH([1]!Table1[[#This Row],[Module Code]],[1]!Table2[Module Code],0))</f>
        <v>100</v>
      </c>
      <c r="E52" s="29">
        <f>INDEX([1]!Table2[Credits],MATCH([1]!Table1[[#This Row],[Module Code]],[1]!Table2[Module Code],0))</f>
        <v>20</v>
      </c>
      <c r="F52" s="11" t="s">
        <v>349</v>
      </c>
      <c r="G52" s="11" t="s">
        <v>229</v>
      </c>
      <c r="H52" s="11" t="s">
        <v>305</v>
      </c>
      <c r="I52" s="11">
        <v>6</v>
      </c>
      <c r="J52" s="11">
        <f>AVERAGE(Table1[[#This Row],[Autumn Week 1]:[Spring Week 12]])*4*Table1[[#This Row],[Credits]]</f>
        <v>24</v>
      </c>
      <c r="K52" s="11"/>
      <c r="L52" s="18"/>
      <c r="M52" s="18"/>
      <c r="N52" s="18"/>
      <c r="O52" s="19"/>
      <c r="P52" s="18"/>
      <c r="Q52" s="18"/>
      <c r="R52" s="18"/>
      <c r="S52" s="19"/>
      <c r="T52" s="18"/>
      <c r="U52" s="18"/>
      <c r="V52" s="18"/>
      <c r="W52" s="19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>
        <v>0.3</v>
      </c>
      <c r="AI52" s="20"/>
      <c r="AJ52" s="20"/>
      <c r="AK52" s="27">
        <f>SUMIF(Table1[[#This Row],[Autumn Week 1]:[Spring Week 12]],"&gt;0",Table1[[#This Row],[Autumn Week 1]:[Spring Week 12]])</f>
        <v>0.3</v>
      </c>
      <c r="AL52" s="27">
        <f>IF(Table1[[#This Row],[Hours]]&gt;0,Table1[[#This Row],[Hours]],Table1[[#This Row],[Nominal Hours]])*COUNTIF(Table1[[#This Row],[Autumn Week 1]:[Spring Week 12]],"&gt;0")</f>
        <v>24</v>
      </c>
    </row>
    <row r="53" spans="1:38">
      <c r="A53" s="3" t="s">
        <v>93</v>
      </c>
      <c r="B53" s="3" t="s">
        <v>85</v>
      </c>
      <c r="C53" s="11" t="s">
        <v>125</v>
      </c>
      <c r="D53" s="29">
        <f>INDEX(Table2[CA weight],MATCH(Table1[[#This Row],[Module Code]],Table2[Module Code],0))</f>
        <v>30</v>
      </c>
      <c r="E53" s="29">
        <f>INDEX(Table2[Credits],MATCH(Table1[[#This Row],[Module Code]],Table2[Module Code],0))</f>
        <v>20</v>
      </c>
      <c r="F53" s="11" t="s">
        <v>261</v>
      </c>
      <c r="G53" s="11" t="s">
        <v>229</v>
      </c>
      <c r="H53" s="11" t="s">
        <v>305</v>
      </c>
      <c r="I53" s="11">
        <v>1</v>
      </c>
      <c r="J53" s="11">
        <f>AVERAGE(Table1[[#This Row],[Autumn Week 1]:[Spring Week 12]])*4*Table1[[#This Row],[Credits]]</f>
        <v>1.6</v>
      </c>
      <c r="K53" s="11">
        <v>1</v>
      </c>
      <c r="L53" s="18"/>
      <c r="M53" s="18"/>
      <c r="N53" s="18"/>
      <c r="O53" s="19"/>
      <c r="P53" s="18"/>
      <c r="Q53" s="18"/>
      <c r="R53" s="18"/>
      <c r="S53" s="19"/>
      <c r="T53" s="18"/>
      <c r="U53" s="18"/>
      <c r="V53" s="18"/>
      <c r="W53" s="19"/>
      <c r="X53" s="20"/>
      <c r="Y53" s="20">
        <v>0.02</v>
      </c>
      <c r="Z53" s="20"/>
      <c r="AA53" s="20">
        <v>0.02</v>
      </c>
      <c r="AB53" s="20"/>
      <c r="AC53" s="20">
        <v>0.02</v>
      </c>
      <c r="AD53" s="20"/>
      <c r="AE53" s="20"/>
      <c r="AF53" s="20">
        <v>0.02</v>
      </c>
      <c r="AG53" s="20">
        <v>0.02</v>
      </c>
      <c r="AH53" s="20"/>
      <c r="AI53" s="20"/>
      <c r="AJ53" s="20"/>
      <c r="AK53" s="27">
        <f>SUMIF(Table1[[#This Row],[Autumn Week 1]:[Spring Week 12]],"&gt;0",Table1[[#This Row],[Autumn Week 1]:[Spring Week 12]])</f>
        <v>0.1</v>
      </c>
      <c r="AL53" s="27">
        <f>IF(Table1[[#This Row],[Hours]]&gt;0,Table1[[#This Row],[Hours]],Table1[[#This Row],[Nominal Hours]])*COUNTIF(Table1[[#This Row],[Autumn Week 1]:[Spring Week 12]],"&gt;0")</f>
        <v>5</v>
      </c>
    </row>
    <row r="54" spans="1:38">
      <c r="A54" s="3" t="s">
        <v>93</v>
      </c>
      <c r="B54" s="3" t="s">
        <v>85</v>
      </c>
      <c r="C54" s="12" t="s">
        <v>5</v>
      </c>
      <c r="D54" s="29">
        <f>INDEX(Table2[CA weight],MATCH(Table1[[#This Row],[Module Code]],Table2[Module Code],0))</f>
        <v>30</v>
      </c>
      <c r="E54" s="29">
        <f>INDEX(Table2[Credits],MATCH(Table1[[#This Row],[Module Code]],Table2[Module Code],0))</f>
        <v>20</v>
      </c>
      <c r="F54" s="12" t="s">
        <v>206</v>
      </c>
      <c r="G54" s="11" t="s">
        <v>229</v>
      </c>
      <c r="H54" s="11" t="s">
        <v>305</v>
      </c>
      <c r="I54" s="11">
        <v>3</v>
      </c>
      <c r="J54" s="11">
        <f>AVERAGE(Table1[[#This Row],[Autumn Week 1]:[Spring Week 12]])*4*Table1[[#This Row],[Credits]]</f>
        <v>8</v>
      </c>
      <c r="K54" s="11">
        <v>15</v>
      </c>
      <c r="L54" s="18"/>
      <c r="M54" s="18"/>
      <c r="N54" s="18"/>
      <c r="O54" s="19"/>
      <c r="P54" s="18"/>
      <c r="Q54" s="18"/>
      <c r="R54" s="18"/>
      <c r="S54" s="19"/>
      <c r="T54" s="18"/>
      <c r="U54" s="18"/>
      <c r="V54" s="18"/>
      <c r="W54" s="19"/>
      <c r="X54" s="20"/>
      <c r="Y54" s="20"/>
      <c r="Z54" s="20"/>
      <c r="AA54" s="20"/>
      <c r="AB54" s="20">
        <v>0.1</v>
      </c>
      <c r="AC54" s="20"/>
      <c r="AD54" s="20"/>
      <c r="AE54" s="20">
        <v>0.1</v>
      </c>
      <c r="AF54" s="20"/>
      <c r="AG54" s="20"/>
      <c r="AH54" s="20"/>
      <c r="AI54" s="20"/>
      <c r="AJ54" s="20"/>
      <c r="AK54" s="27">
        <f>SUMIF(Table1[[#This Row],[Autumn Week 1]:[Spring Week 12]],"&gt;0",Table1[[#This Row],[Autumn Week 1]:[Spring Week 12]])</f>
        <v>0.2</v>
      </c>
      <c r="AL54" s="27">
        <f>IF(Table1[[#This Row],[Hours]]&gt;0,Table1[[#This Row],[Hours]],Table1[[#This Row],[Nominal Hours]])*COUNTIF(Table1[[#This Row],[Autumn Week 1]:[Spring Week 12]],"&gt;0")</f>
        <v>30</v>
      </c>
    </row>
    <row r="55" spans="1:38">
      <c r="A55" s="3" t="s">
        <v>94</v>
      </c>
      <c r="B55" s="3" t="s">
        <v>86</v>
      </c>
      <c r="C55" s="11" t="s">
        <v>5</v>
      </c>
      <c r="D55" s="29">
        <f>INDEX(Table2[CA weight],MATCH(Table1[[#This Row],[Module Code]],Table2[Module Code],0))</f>
        <v>30</v>
      </c>
      <c r="E55" s="29">
        <f>INDEX(Table2[Credits],MATCH(Table1[[#This Row],[Module Code]],Table2[Module Code],0))</f>
        <v>10</v>
      </c>
      <c r="F55" s="11" t="s">
        <v>206</v>
      </c>
      <c r="G55" s="11" t="s">
        <v>229</v>
      </c>
      <c r="H55" s="11" t="s">
        <v>305</v>
      </c>
      <c r="I55" s="11">
        <v>1</v>
      </c>
      <c r="J55" s="11">
        <f>AVERAGE(Table1[[#This Row],[Autumn Week 1]:[Spring Week 12]])*4*Table1[[#This Row],[Credits]]</f>
        <v>2</v>
      </c>
      <c r="K55" s="11"/>
      <c r="L55" s="18"/>
      <c r="M55" s="18"/>
      <c r="N55" s="18"/>
      <c r="O55" s="19"/>
      <c r="P55" s="18"/>
      <c r="Q55" s="18"/>
      <c r="R55" s="18"/>
      <c r="S55" s="19"/>
      <c r="T55" s="18"/>
      <c r="U55" s="18"/>
      <c r="V55" s="18"/>
      <c r="W55" s="19"/>
      <c r="X55" s="20"/>
      <c r="Y55" s="20"/>
      <c r="Z55" s="20"/>
      <c r="AA55" s="20">
        <v>0.1</v>
      </c>
      <c r="AB55" s="20"/>
      <c r="AC55" s="20">
        <v>-0.1</v>
      </c>
      <c r="AD55" s="20">
        <v>0.1</v>
      </c>
      <c r="AE55" s="20"/>
      <c r="AF55" s="20"/>
      <c r="AG55" s="20">
        <v>0.1</v>
      </c>
      <c r="AH55" s="20"/>
      <c r="AI55" s="20"/>
      <c r="AJ55" s="20"/>
      <c r="AK55" s="27">
        <f>SUMIF(Table1[[#This Row],[Autumn Week 1]:[Spring Week 12]],"&gt;0",Table1[[#This Row],[Autumn Week 1]:[Spring Week 12]])</f>
        <v>0.30000000000000004</v>
      </c>
      <c r="AL55" s="27">
        <f>IF(Table1[[#This Row],[Hours]]&gt;0,Table1[[#This Row],[Hours]],Table1[[#This Row],[Nominal Hours]])*COUNTIF(Table1[[#This Row],[Autumn Week 1]:[Spring Week 12]],"&gt;0")</f>
        <v>6</v>
      </c>
    </row>
    <row r="56" spans="1:38" ht="28">
      <c r="A56" s="3" t="s">
        <v>186</v>
      </c>
      <c r="B56" s="3" t="s">
        <v>88</v>
      </c>
      <c r="C56" s="11" t="s">
        <v>125</v>
      </c>
      <c r="D56" s="29">
        <f>INDEX(Table2[CA weight],MATCH(Table1[[#This Row],[Module Code]],Table2[Module Code],0))</f>
        <v>30</v>
      </c>
      <c r="E56" s="29">
        <f>INDEX(Table2[Credits],MATCH(Table1[[#This Row],[Module Code]],Table2[Module Code],0))</f>
        <v>10</v>
      </c>
      <c r="F56" s="37" t="s">
        <v>291</v>
      </c>
      <c r="G56" s="11" t="s">
        <v>229</v>
      </c>
      <c r="H56" s="11" t="s">
        <v>305</v>
      </c>
      <c r="I56" s="11">
        <v>1</v>
      </c>
      <c r="J56" s="11">
        <f>AVERAGE(Table1[[#This Row],[Autumn Week 1]:[Spring Week 12]])*4*Table1[[#This Row],[Credits]]</f>
        <v>1.2</v>
      </c>
      <c r="K56" s="11"/>
      <c r="L56" s="18"/>
      <c r="M56" s="18"/>
      <c r="N56" s="18"/>
      <c r="O56" s="19"/>
      <c r="P56" s="18"/>
      <c r="Q56" s="18"/>
      <c r="R56" s="18"/>
      <c r="S56" s="19"/>
      <c r="T56" s="18"/>
      <c r="U56" s="18"/>
      <c r="V56" s="18"/>
      <c r="W56" s="19"/>
      <c r="X56" s="20"/>
      <c r="Y56" s="20">
        <v>0.03</v>
      </c>
      <c r="Z56" s="20">
        <v>0.03</v>
      </c>
      <c r="AA56" s="20">
        <v>0.03</v>
      </c>
      <c r="AB56" s="20">
        <v>0.03</v>
      </c>
      <c r="AC56" s="20">
        <v>0.03</v>
      </c>
      <c r="AD56" s="20"/>
      <c r="AE56" s="20"/>
      <c r="AF56" s="20"/>
      <c r="AG56" s="20"/>
      <c r="AH56" s="20"/>
      <c r="AI56" s="20"/>
      <c r="AJ56" s="20"/>
      <c r="AK56" s="27">
        <f>SUMIF(Table1[[#This Row],[Autumn Week 1]:[Spring Week 12]],"&gt;0",Table1[[#This Row],[Autumn Week 1]:[Spring Week 12]])</f>
        <v>0.15</v>
      </c>
      <c r="AL56" s="27">
        <f>IF(Table1[[#This Row],[Hours]]&gt;0,Table1[[#This Row],[Hours]],Table1[[#This Row],[Nominal Hours]])*COUNTIF(Table1[[#This Row],[Autumn Week 1]:[Spring Week 12]],"&gt;0")</f>
        <v>6</v>
      </c>
    </row>
    <row r="57" spans="1:38" ht="28">
      <c r="A57" s="3" t="s">
        <v>186</v>
      </c>
      <c r="B57" s="3" t="s">
        <v>88</v>
      </c>
      <c r="C57" s="11" t="s">
        <v>125</v>
      </c>
      <c r="D57" s="29">
        <f>INDEX(Table2[CA weight],MATCH(Table1[[#This Row],[Module Code]],Table2[Module Code],0))</f>
        <v>30</v>
      </c>
      <c r="E57" s="29">
        <f>INDEX(Table2[Credits],MATCH(Table1[[#This Row],[Module Code]],Table2[Module Code],0))</f>
        <v>10</v>
      </c>
      <c r="F57" s="37" t="s">
        <v>292</v>
      </c>
      <c r="G57" s="11" t="s">
        <v>229</v>
      </c>
      <c r="H57" s="11" t="s">
        <v>305</v>
      </c>
      <c r="I57" s="11">
        <v>1</v>
      </c>
      <c r="J57" s="11">
        <f>AVERAGE(Table1[[#This Row],[Autumn Week 1]:[Spring Week 12]])*4*Table1[[#This Row],[Credits]]</f>
        <v>1.2</v>
      </c>
      <c r="K57" s="11"/>
      <c r="L57" s="18"/>
      <c r="M57" s="18"/>
      <c r="N57" s="18"/>
      <c r="O57" s="19"/>
      <c r="P57" s="18"/>
      <c r="Q57" s="18"/>
      <c r="R57" s="18"/>
      <c r="S57" s="19"/>
      <c r="T57" s="18"/>
      <c r="U57" s="18"/>
      <c r="V57" s="18"/>
      <c r="W57" s="19"/>
      <c r="X57" s="20"/>
      <c r="Y57" s="20"/>
      <c r="Z57" s="20"/>
      <c r="AA57" s="20"/>
      <c r="AB57" s="20"/>
      <c r="AC57" s="20"/>
      <c r="AD57" s="20">
        <v>0.03</v>
      </c>
      <c r="AE57" s="20">
        <v>0.03</v>
      </c>
      <c r="AF57" s="20">
        <v>0.03</v>
      </c>
      <c r="AG57" s="20">
        <v>0.03</v>
      </c>
      <c r="AH57" s="20">
        <v>0.03</v>
      </c>
      <c r="AI57" s="20"/>
      <c r="AJ57" s="20"/>
      <c r="AK57" s="27">
        <f>SUMIF(Table1[[#This Row],[Autumn Week 1]:[Spring Week 12]],"&gt;0",Table1[[#This Row],[Autumn Week 1]:[Spring Week 12]])</f>
        <v>0.15</v>
      </c>
      <c r="AL57" s="27">
        <f>IF(Table1[[#This Row],[Hours]]&gt;0,Table1[[#This Row],[Hours]],Table1[[#This Row],[Nominal Hours]])*COUNTIF(Table1[[#This Row],[Autumn Week 1]:[Spring Week 12]],"&gt;0")</f>
        <v>6</v>
      </c>
    </row>
    <row r="58" spans="1:38">
      <c r="A58" s="3" t="s">
        <v>89</v>
      </c>
      <c r="B58" s="3" t="s">
        <v>90</v>
      </c>
      <c r="C58" s="12" t="s">
        <v>5</v>
      </c>
      <c r="D58" s="29">
        <f>INDEX(Table2[CA weight],MATCH(Table1[[#This Row],[Module Code]],Table2[Module Code],0))</f>
        <v>20</v>
      </c>
      <c r="E58" s="29">
        <f>INDEX(Table2[Credits],MATCH(Table1[[#This Row],[Module Code]],Table2[Module Code],0))</f>
        <v>10</v>
      </c>
      <c r="F58" s="12" t="s">
        <v>266</v>
      </c>
      <c r="G58" s="11" t="s">
        <v>229</v>
      </c>
      <c r="H58" s="11" t="s">
        <v>305</v>
      </c>
      <c r="I58" s="11">
        <v>4</v>
      </c>
      <c r="J58" s="11">
        <f>AVERAGE(Table1[[#This Row],[Autumn Week 1]:[Spring Week 12]])*4*Table1[[#This Row],[Credits]]</f>
        <v>4</v>
      </c>
      <c r="K58" s="11"/>
      <c r="L58" s="18"/>
      <c r="M58" s="18"/>
      <c r="N58" s="18"/>
      <c r="O58" s="19"/>
      <c r="P58" s="18"/>
      <c r="Q58" s="18"/>
      <c r="R58" s="18"/>
      <c r="S58" s="19"/>
      <c r="T58" s="18"/>
      <c r="U58" s="18"/>
      <c r="V58" s="18"/>
      <c r="W58" s="19"/>
      <c r="X58" s="20"/>
      <c r="Y58" s="20"/>
      <c r="Z58" s="20"/>
      <c r="AA58" s="20"/>
      <c r="AB58" s="20"/>
      <c r="AC58" s="20">
        <v>0.1</v>
      </c>
      <c r="AD58" s="20"/>
      <c r="AE58" s="20"/>
      <c r="AF58" s="20"/>
      <c r="AG58" s="20"/>
      <c r="AH58" s="20"/>
      <c r="AI58" s="20"/>
      <c r="AJ58" s="20"/>
      <c r="AK58" s="27">
        <f>SUMIF(Table1[[#This Row],[Autumn Week 1]:[Spring Week 12]],"&gt;0",Table1[[#This Row],[Autumn Week 1]:[Spring Week 12]])</f>
        <v>0.1</v>
      </c>
      <c r="AL58" s="27">
        <f>IF(Table1[[#This Row],[Hours]]&gt;0,Table1[[#This Row],[Hours]],Table1[[#This Row],[Nominal Hours]])*COUNTIF(Table1[[#This Row],[Autumn Week 1]:[Spring Week 12]],"&gt;0")</f>
        <v>4</v>
      </c>
    </row>
    <row r="59" spans="1:38">
      <c r="A59" s="3" t="s">
        <v>89</v>
      </c>
      <c r="B59" s="3" t="s">
        <v>90</v>
      </c>
      <c r="C59" s="12" t="s">
        <v>121</v>
      </c>
      <c r="D59" s="29">
        <f>INDEX(Table2[CA weight],MATCH(Table1[[#This Row],[Module Code]],Table2[Module Code],0))</f>
        <v>20</v>
      </c>
      <c r="E59" s="29">
        <f>INDEX(Table2[Credits],MATCH(Table1[[#This Row],[Module Code]],Table2[Module Code],0))</f>
        <v>10</v>
      </c>
      <c r="F59" s="12" t="s">
        <v>208</v>
      </c>
      <c r="G59" s="11" t="s">
        <v>229</v>
      </c>
      <c r="H59" s="11" t="s">
        <v>315</v>
      </c>
      <c r="I59" s="11">
        <v>4</v>
      </c>
      <c r="J59" s="11">
        <f>AVERAGE(Table1[[#This Row],[Autumn Week 1]:[Spring Week 12]])*4*Table1[[#This Row],[Credits]]</f>
        <v>4</v>
      </c>
      <c r="K59" s="11"/>
      <c r="L59" s="18"/>
      <c r="M59" s="18"/>
      <c r="N59" s="18"/>
      <c r="O59" s="19"/>
      <c r="P59" s="18"/>
      <c r="Q59" s="18"/>
      <c r="R59" s="18"/>
      <c r="S59" s="19"/>
      <c r="T59" s="18"/>
      <c r="U59" s="18"/>
      <c r="V59" s="18"/>
      <c r="W59" s="19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>
        <v>0.1</v>
      </c>
      <c r="AJ59" s="20"/>
      <c r="AK59" s="27">
        <f>SUMIF(Table1[[#This Row],[Autumn Week 1]:[Spring Week 12]],"&gt;0",Table1[[#This Row],[Autumn Week 1]:[Spring Week 12]])</f>
        <v>0.1</v>
      </c>
      <c r="AL59" s="27">
        <f>IF(Table1[[#This Row],[Hours]]&gt;0,Table1[[#This Row],[Hours]],Table1[[#This Row],[Nominal Hours]])*COUNTIF(Table1[[#This Row],[Autumn Week 1]:[Spring Week 12]],"&gt;0")</f>
        <v>4</v>
      </c>
    </row>
    <row r="60" spans="1:38">
      <c r="A60" s="3" t="s">
        <v>91</v>
      </c>
      <c r="B60" s="3" t="s">
        <v>92</v>
      </c>
      <c r="C60" s="11" t="s">
        <v>124</v>
      </c>
      <c r="D60" s="29">
        <f>INDEX(Table2[CA weight],MATCH(Table1[[#This Row],[Module Code]],Table2[Module Code],0))</f>
        <v>100</v>
      </c>
      <c r="E60" s="29">
        <f>INDEX(Table2[Credits],MATCH(Table1[[#This Row],[Module Code]],Table2[Module Code],0))</f>
        <v>10</v>
      </c>
      <c r="F60" s="37" t="s">
        <v>345</v>
      </c>
      <c r="G60" s="11" t="s">
        <v>229</v>
      </c>
      <c r="H60" s="11" t="s">
        <v>327</v>
      </c>
      <c r="I60" s="11">
        <v>1</v>
      </c>
      <c r="J60" s="11">
        <f>AVERAGE(Table1[[#This Row],[Autumn Week 1]:[Spring Week 12]])*4*Table1[[#This Row],[Credits]]</f>
        <v>3.5999999999999992</v>
      </c>
      <c r="K60" s="11">
        <v>0.5</v>
      </c>
      <c r="L60" s="18"/>
      <c r="M60" s="18"/>
      <c r="N60" s="18"/>
      <c r="O60" s="19"/>
      <c r="P60" s="18"/>
      <c r="Q60" s="18"/>
      <c r="R60" s="18"/>
      <c r="S60" s="19"/>
      <c r="T60" s="18"/>
      <c r="U60" s="18"/>
      <c r="V60" s="18"/>
      <c r="W60" s="19"/>
      <c r="X60" s="20"/>
      <c r="Y60" s="20">
        <v>0.09</v>
      </c>
      <c r="Z60" s="20">
        <v>0.09</v>
      </c>
      <c r="AA60" s="20">
        <v>0.09</v>
      </c>
      <c r="AB60" s="20">
        <v>0.09</v>
      </c>
      <c r="AC60" s="20"/>
      <c r="AD60" s="20">
        <v>0.09</v>
      </c>
      <c r="AE60" s="20">
        <v>0.09</v>
      </c>
      <c r="AF60" s="20">
        <v>0.09</v>
      </c>
      <c r="AG60" s="20">
        <v>0.09</v>
      </c>
      <c r="AH60" s="20"/>
      <c r="AI60" s="20"/>
      <c r="AJ60" s="20"/>
      <c r="AK60" s="27">
        <f>SUMIF(Table1[[#This Row],[Autumn Week 1]:[Spring Week 12]],"&gt;0",Table1[[#This Row],[Autumn Week 1]:[Spring Week 12]])</f>
        <v>0.71999999999999986</v>
      </c>
      <c r="AL60" s="27">
        <f>IF(Table1[[#This Row],[Hours]]&gt;0,Table1[[#This Row],[Hours]],Table1[[#This Row],[Nominal Hours]])*COUNTIF(Table1[[#This Row],[Autumn Week 1]:[Spring Week 12]],"&gt;0")</f>
        <v>4</v>
      </c>
    </row>
    <row r="61" spans="1:38">
      <c r="A61" s="3" t="s">
        <v>91</v>
      </c>
      <c r="B61" s="3" t="s">
        <v>92</v>
      </c>
      <c r="C61" s="12" t="s">
        <v>121</v>
      </c>
      <c r="D61" s="29">
        <f>INDEX(Table2[CA weight],MATCH(Table1[[#This Row],[Module Code]],Table2[Module Code],0))</f>
        <v>100</v>
      </c>
      <c r="E61" s="29">
        <f>INDEX(Table2[Credits],MATCH(Table1[[#This Row],[Module Code]],Table2[Module Code],0))</f>
        <v>10</v>
      </c>
      <c r="F61" s="12" t="s">
        <v>209</v>
      </c>
      <c r="G61" s="11" t="s">
        <v>229</v>
      </c>
      <c r="H61" s="11" t="s">
        <v>305</v>
      </c>
      <c r="I61" s="11">
        <v>6</v>
      </c>
      <c r="J61" s="11">
        <f>AVERAGE(Table1[[#This Row],[Autumn Week 1]:[Spring Week 12]])*4*Table1[[#This Row],[Credits]]</f>
        <v>5.2</v>
      </c>
      <c r="K61" s="11"/>
      <c r="L61" s="18"/>
      <c r="M61" s="18"/>
      <c r="N61" s="18"/>
      <c r="O61" s="19"/>
      <c r="P61" s="18"/>
      <c r="Q61" s="18"/>
      <c r="R61" s="18"/>
      <c r="S61" s="19"/>
      <c r="T61" s="18"/>
      <c r="U61" s="18"/>
      <c r="V61" s="18"/>
      <c r="W61" s="19"/>
      <c r="X61" s="20"/>
      <c r="Y61" s="20"/>
      <c r="Z61" s="20"/>
      <c r="AA61" s="20"/>
      <c r="AB61" s="20"/>
      <c r="AC61" s="20"/>
      <c r="AD61" s="20"/>
      <c r="AE61" s="20"/>
      <c r="AF61" s="20"/>
      <c r="AG61" s="20">
        <v>0.13</v>
      </c>
      <c r="AH61" s="20"/>
      <c r="AI61" s="20"/>
      <c r="AJ61" s="20"/>
      <c r="AK61" s="27">
        <f>SUMIF(Table1[[#This Row],[Autumn Week 1]:[Spring Week 12]],"&gt;0",Table1[[#This Row],[Autumn Week 1]:[Spring Week 12]])</f>
        <v>0.13</v>
      </c>
      <c r="AL61" s="27">
        <f>IF(Table1[[#This Row],[Hours]]&gt;0,Table1[[#This Row],[Hours]],Table1[[#This Row],[Nominal Hours]])*COUNTIF(Table1[[#This Row],[Autumn Week 1]:[Spring Week 12]],"&gt;0")</f>
        <v>5.2</v>
      </c>
    </row>
    <row r="62" spans="1:38" ht="14.65" customHeight="1">
      <c r="A62" s="3" t="s">
        <v>91</v>
      </c>
      <c r="B62" s="3" t="s">
        <v>92</v>
      </c>
      <c r="C62" s="12" t="s">
        <v>5</v>
      </c>
      <c r="D62" s="29">
        <f>INDEX(Table2[CA weight],MATCH(Table1[[#This Row],[Module Code]],Table2[Module Code],0))</f>
        <v>100</v>
      </c>
      <c r="E62" s="29">
        <f>INDEX(Table2[Credits],MATCH(Table1[[#This Row],[Module Code]],Table2[Module Code],0))</f>
        <v>10</v>
      </c>
      <c r="F62" s="12" t="s">
        <v>260</v>
      </c>
      <c r="G62" s="11" t="s">
        <v>229</v>
      </c>
      <c r="H62" s="11" t="s">
        <v>305</v>
      </c>
      <c r="I62" s="11">
        <v>1</v>
      </c>
      <c r="J62" s="11">
        <f>AVERAGE(Table1[[#This Row],[Autumn Week 1]:[Spring Week 12]])*4*Table1[[#This Row],[Credits]]</f>
        <v>2</v>
      </c>
      <c r="K62" s="11">
        <v>1</v>
      </c>
      <c r="L62" s="18"/>
      <c r="M62" s="18"/>
      <c r="N62" s="18"/>
      <c r="O62" s="19"/>
      <c r="P62" s="18"/>
      <c r="Q62" s="18"/>
      <c r="R62" s="18"/>
      <c r="S62" s="19"/>
      <c r="T62" s="18"/>
      <c r="U62" s="18"/>
      <c r="V62" s="18"/>
      <c r="W62" s="19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>
        <v>0.05</v>
      </c>
      <c r="AI62" s="20"/>
      <c r="AJ62" s="20"/>
      <c r="AK62" s="27">
        <f>SUMIF(Table1[[#This Row],[Autumn Week 1]:[Spring Week 12]],"&gt;0",Table1[[#This Row],[Autumn Week 1]:[Spring Week 12]])</f>
        <v>0.05</v>
      </c>
      <c r="AL62" s="27">
        <f>IF(Table1[[#This Row],[Hours]]&gt;0,Table1[[#This Row],[Hours]],Table1[[#This Row],[Nominal Hours]])*COUNTIF(Table1[[#This Row],[Autumn Week 1]:[Spring Week 12]],"&gt;0")</f>
        <v>1</v>
      </c>
    </row>
    <row r="63" spans="1:38">
      <c r="A63" s="3" t="s">
        <v>91</v>
      </c>
      <c r="B63" s="3" t="s">
        <v>92</v>
      </c>
      <c r="C63" s="12" t="s">
        <v>121</v>
      </c>
      <c r="D63" s="29">
        <f>INDEX(Table2[CA weight],MATCH(Table1[[#This Row],[Module Code]],Table2[Module Code],0))</f>
        <v>100</v>
      </c>
      <c r="E63" s="29">
        <f>INDEX(Table2[Credits],MATCH(Table1[[#This Row],[Module Code]],Table2[Module Code],0))</f>
        <v>10</v>
      </c>
      <c r="F63" s="12" t="s">
        <v>208</v>
      </c>
      <c r="G63" s="11" t="s">
        <v>229</v>
      </c>
      <c r="H63" s="11" t="s">
        <v>327</v>
      </c>
      <c r="I63" s="11">
        <v>9</v>
      </c>
      <c r="J63" s="11">
        <f>AVERAGE(Table1[[#This Row],[Autumn Week 1]:[Spring Week 12]])*4*Table1[[#This Row],[Credits]]</f>
        <v>4</v>
      </c>
      <c r="K63" s="11"/>
      <c r="L63" s="18"/>
      <c r="M63" s="18"/>
      <c r="N63" s="18"/>
      <c r="O63" s="19"/>
      <c r="P63" s="18"/>
      <c r="Q63" s="18"/>
      <c r="R63" s="18"/>
      <c r="S63" s="19"/>
      <c r="T63" s="18"/>
      <c r="U63" s="18"/>
      <c r="V63" s="18"/>
      <c r="W63" s="19"/>
      <c r="X63" s="20"/>
      <c r="Y63" s="20"/>
      <c r="Z63" s="20"/>
      <c r="AA63" s="20"/>
      <c r="AB63" s="20"/>
      <c r="AC63" s="20"/>
      <c r="AD63" s="20"/>
      <c r="AE63" s="20"/>
      <c r="AF63" s="20"/>
      <c r="AG63" s="20">
        <v>0.1</v>
      </c>
      <c r="AH63" s="20"/>
      <c r="AI63" s="20"/>
      <c r="AJ63" s="20"/>
      <c r="AK63" s="27">
        <f>SUMIF(Table1[[#This Row],[Autumn Week 1]:[Spring Week 12]],"&gt;0",Table1[[#This Row],[Autumn Week 1]:[Spring Week 12]])</f>
        <v>0.1</v>
      </c>
      <c r="AL63" s="27">
        <f>IF(Table1[[#This Row],[Hours]]&gt;0,Table1[[#This Row],[Hours]],Table1[[#This Row],[Nominal Hours]])*COUNTIF(Table1[[#This Row],[Autumn Week 1]:[Spring Week 12]],"&gt;0")</f>
        <v>4</v>
      </c>
    </row>
    <row r="64" spans="1:38" ht="14.65" customHeight="1">
      <c r="A64" s="3" t="s">
        <v>95</v>
      </c>
      <c r="B64" s="3" t="s">
        <v>87</v>
      </c>
      <c r="C64" s="11" t="s">
        <v>124</v>
      </c>
      <c r="D64" s="29">
        <f>INDEX(Table2[CA weight],MATCH(Table1[[#This Row],[Module Code]],Table2[Module Code],0))</f>
        <v>100</v>
      </c>
      <c r="E64" s="29">
        <f>INDEX(Table2[Credits],MATCH(Table1[[#This Row],[Module Code]],Table2[Module Code],0))</f>
        <v>10</v>
      </c>
      <c r="F64" s="37" t="s">
        <v>345</v>
      </c>
      <c r="G64" s="11" t="s">
        <v>229</v>
      </c>
      <c r="H64" s="11" t="s">
        <v>311</v>
      </c>
      <c r="I64" s="11">
        <v>1</v>
      </c>
      <c r="J64" s="11">
        <f>AVERAGE(Table1[[#This Row],[Autumn Week 1]:[Spring Week 12]])*4*Table1[[#This Row],[Credits]]</f>
        <v>3.5999999999999992</v>
      </c>
      <c r="K64" s="11">
        <v>0.5</v>
      </c>
      <c r="L64" s="18"/>
      <c r="M64" s="18"/>
      <c r="N64" s="18"/>
      <c r="O64" s="19"/>
      <c r="P64" s="18"/>
      <c r="Q64" s="18"/>
      <c r="R64" s="18"/>
      <c r="S64" s="19"/>
      <c r="T64" s="18"/>
      <c r="U64" s="18"/>
      <c r="V64" s="18"/>
      <c r="W64" s="19"/>
      <c r="X64" s="20"/>
      <c r="Y64" s="20">
        <v>0.09</v>
      </c>
      <c r="Z64" s="20">
        <v>0.09</v>
      </c>
      <c r="AA64" s="20">
        <v>0.09</v>
      </c>
      <c r="AB64" s="20">
        <v>0.09</v>
      </c>
      <c r="AC64" s="20"/>
      <c r="AD64" s="20">
        <v>0.09</v>
      </c>
      <c r="AE64" s="20">
        <v>0.09</v>
      </c>
      <c r="AF64" s="20">
        <v>0.09</v>
      </c>
      <c r="AG64" s="20">
        <v>0.09</v>
      </c>
      <c r="AH64" s="20"/>
      <c r="AI64" s="20"/>
      <c r="AJ64" s="20"/>
      <c r="AK64" s="27">
        <f>SUMIF(Table1[[#This Row],[Autumn Week 1]:[Spring Week 12]],"&gt;0",Table1[[#This Row],[Autumn Week 1]:[Spring Week 12]])</f>
        <v>0.71999999999999986</v>
      </c>
      <c r="AL64" s="27">
        <f>IF(Table1[[#This Row],[Hours]]&gt;0,Table1[[#This Row],[Hours]],Table1[[#This Row],[Nominal Hours]])*COUNTIF(Table1[[#This Row],[Autumn Week 1]:[Spring Week 12]],"&gt;0")</f>
        <v>4</v>
      </c>
    </row>
    <row r="65" spans="1:38">
      <c r="A65" s="3" t="s">
        <v>95</v>
      </c>
      <c r="B65" s="3" t="s">
        <v>87</v>
      </c>
      <c r="C65" s="12" t="s">
        <v>121</v>
      </c>
      <c r="D65" s="29">
        <f>INDEX(Table2[CA weight],MATCH(Table1[[#This Row],[Module Code]],Table2[Module Code],0))</f>
        <v>100</v>
      </c>
      <c r="E65" s="29">
        <f>INDEX(Table2[Credits],MATCH(Table1[[#This Row],[Module Code]],Table2[Module Code],0))</f>
        <v>10</v>
      </c>
      <c r="F65" s="12" t="s">
        <v>209</v>
      </c>
      <c r="G65" s="11" t="s">
        <v>229</v>
      </c>
      <c r="H65" s="11" t="s">
        <v>305</v>
      </c>
      <c r="I65" s="11">
        <v>6</v>
      </c>
      <c r="J65" s="11">
        <f>AVERAGE(Table1[[#This Row],[Autumn Week 1]:[Spring Week 12]])*4*Table1[[#This Row],[Credits]]</f>
        <v>5.2</v>
      </c>
      <c r="K65" s="11"/>
      <c r="L65" s="18"/>
      <c r="M65" s="18"/>
      <c r="N65" s="18"/>
      <c r="O65" s="19"/>
      <c r="P65" s="18"/>
      <c r="Q65" s="18"/>
      <c r="R65" s="18"/>
      <c r="S65" s="19"/>
      <c r="T65" s="18"/>
      <c r="U65" s="18"/>
      <c r="V65" s="18"/>
      <c r="W65" s="19"/>
      <c r="X65" s="20"/>
      <c r="Y65" s="20"/>
      <c r="Z65" s="20"/>
      <c r="AA65" s="20"/>
      <c r="AB65" s="20"/>
      <c r="AC65" s="20"/>
      <c r="AD65" s="20"/>
      <c r="AE65" s="20"/>
      <c r="AF65" s="20"/>
      <c r="AG65" s="20">
        <v>0.13</v>
      </c>
      <c r="AH65" s="20"/>
      <c r="AI65" s="20"/>
      <c r="AJ65" s="20"/>
      <c r="AK65" s="27">
        <f>SUMIF(Table1[[#This Row],[Autumn Week 1]:[Spring Week 12]],"&gt;0",Table1[[#This Row],[Autumn Week 1]:[Spring Week 12]])</f>
        <v>0.13</v>
      </c>
      <c r="AL65" s="27">
        <f>IF(Table1[[#This Row],[Hours]]&gt;0,Table1[[#This Row],[Hours]],Table1[[#This Row],[Nominal Hours]])*COUNTIF(Table1[[#This Row],[Autumn Week 1]:[Spring Week 12]],"&gt;0")</f>
        <v>5.2</v>
      </c>
    </row>
    <row r="66" spans="1:38">
      <c r="A66" s="3" t="s">
        <v>95</v>
      </c>
      <c r="B66" s="3" t="s">
        <v>87</v>
      </c>
      <c r="C66" s="12" t="s">
        <v>5</v>
      </c>
      <c r="D66" s="29">
        <f>INDEX(Table2[CA weight],MATCH(Table1[[#This Row],[Module Code]],Table2[Module Code],0))</f>
        <v>100</v>
      </c>
      <c r="E66" s="29">
        <f>INDEX(Table2[Credits],MATCH(Table1[[#This Row],[Module Code]],Table2[Module Code],0))</f>
        <v>10</v>
      </c>
      <c r="F66" s="12" t="s">
        <v>260</v>
      </c>
      <c r="G66" s="11" t="s">
        <v>229</v>
      </c>
      <c r="H66" s="11" t="s">
        <v>305</v>
      </c>
      <c r="I66" s="11">
        <v>1</v>
      </c>
      <c r="J66" s="11">
        <f>AVERAGE(Table1[[#This Row],[Autumn Week 1]:[Spring Week 12]])*4*Table1[[#This Row],[Credits]]</f>
        <v>2</v>
      </c>
      <c r="K66" s="11">
        <v>1</v>
      </c>
      <c r="L66" s="18"/>
      <c r="M66" s="18"/>
      <c r="N66" s="18"/>
      <c r="O66" s="19"/>
      <c r="P66" s="18"/>
      <c r="Q66" s="18"/>
      <c r="R66" s="18"/>
      <c r="S66" s="19"/>
      <c r="T66" s="18"/>
      <c r="U66" s="18"/>
      <c r="V66" s="18"/>
      <c r="W66" s="19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>
        <v>0.05</v>
      </c>
      <c r="AI66" s="20"/>
      <c r="AJ66" s="20"/>
      <c r="AK66" s="27">
        <f>SUMIF(Table1[[#This Row],[Autumn Week 1]:[Spring Week 12]],"&gt;0",Table1[[#This Row],[Autumn Week 1]:[Spring Week 12]])</f>
        <v>0.05</v>
      </c>
      <c r="AL66" s="27">
        <f>IF(Table1[[#This Row],[Hours]]&gt;0,Table1[[#This Row],[Hours]],Table1[[#This Row],[Nominal Hours]])*COUNTIF(Table1[[#This Row],[Autumn Week 1]:[Spring Week 12]],"&gt;0")</f>
        <v>1</v>
      </c>
    </row>
    <row r="67" spans="1:38">
      <c r="A67" s="3" t="s">
        <v>95</v>
      </c>
      <c r="B67" s="3" t="s">
        <v>87</v>
      </c>
      <c r="C67" s="12" t="s">
        <v>121</v>
      </c>
      <c r="D67" s="29">
        <f>INDEX(Table2[CA weight],MATCH(Table1[[#This Row],[Module Code]],Table2[Module Code],0))</f>
        <v>100</v>
      </c>
      <c r="E67" s="29">
        <f>INDEX(Table2[Credits],MATCH(Table1[[#This Row],[Module Code]],Table2[Module Code],0))</f>
        <v>10</v>
      </c>
      <c r="F67" s="12" t="s">
        <v>208</v>
      </c>
      <c r="G67" s="11" t="s">
        <v>229</v>
      </c>
      <c r="H67" s="11" t="s">
        <v>311</v>
      </c>
      <c r="I67" s="11">
        <v>1</v>
      </c>
      <c r="J67" s="11">
        <f>AVERAGE(Table1[[#This Row],[Autumn Week 1]:[Spring Week 12]])*4*Table1[[#This Row],[Credits]]</f>
        <v>4</v>
      </c>
      <c r="K67" s="11"/>
      <c r="L67" s="18"/>
      <c r="M67" s="18"/>
      <c r="N67" s="18"/>
      <c r="O67" s="19"/>
      <c r="P67" s="18"/>
      <c r="Q67" s="18"/>
      <c r="R67" s="18"/>
      <c r="S67" s="19"/>
      <c r="T67" s="18"/>
      <c r="U67" s="18"/>
      <c r="V67" s="18"/>
      <c r="W67" s="19"/>
      <c r="X67" s="20"/>
      <c r="Y67" s="20"/>
      <c r="Z67" s="20"/>
      <c r="AA67" s="20"/>
      <c r="AB67" s="20"/>
      <c r="AC67" s="20"/>
      <c r="AD67" s="20"/>
      <c r="AE67" s="20"/>
      <c r="AF67" s="20"/>
      <c r="AG67" s="20">
        <v>0.1</v>
      </c>
      <c r="AH67" s="20"/>
      <c r="AI67" s="20"/>
      <c r="AJ67" s="20"/>
      <c r="AK67" s="27">
        <f>SUMIF(Table1[[#This Row],[Autumn Week 1]:[Spring Week 12]],"&gt;0",Table1[[#This Row],[Autumn Week 1]:[Spring Week 12]])</f>
        <v>0.1</v>
      </c>
      <c r="AL67" s="27">
        <f>IF(Table1[[#This Row],[Hours]]&gt;0,Table1[[#This Row],[Hours]],Table1[[#This Row],[Nominal Hours]])*COUNTIF(Table1[[#This Row],[Autumn Week 1]:[Spring Week 12]],"&gt;0")</f>
        <v>4</v>
      </c>
    </row>
    <row r="68" spans="1:38">
      <c r="A68" s="4" t="s">
        <v>1</v>
      </c>
      <c r="B68" s="2" t="s">
        <v>2</v>
      </c>
      <c r="C68" s="11" t="s">
        <v>125</v>
      </c>
      <c r="D68" s="29">
        <f>INDEX(Table2[CA weight],MATCH(Table1[[#This Row],[Module Code]],Table2[Module Code],0))</f>
        <v>20</v>
      </c>
      <c r="E68" s="29">
        <f>INDEX(Table2[Credits],MATCH(Table1[[#This Row],[Module Code]],Table2[Module Code],0))</f>
        <v>20</v>
      </c>
      <c r="F68" s="37" t="s">
        <v>280</v>
      </c>
      <c r="G68" s="11" t="s">
        <v>220</v>
      </c>
      <c r="H68" s="11"/>
      <c r="I68" s="11">
        <v>1</v>
      </c>
      <c r="J68" s="11">
        <f>AVERAGE(Table1[[#This Row],[Autumn Week 1]:[Spring Week 12]])*4*Table1[[#This Row],[Credits]]</f>
        <v>0.8</v>
      </c>
      <c r="K68" s="11">
        <v>0.5</v>
      </c>
      <c r="L68" s="19"/>
      <c r="M68" s="19">
        <v>0.01</v>
      </c>
      <c r="N68" s="19">
        <v>0.01</v>
      </c>
      <c r="O68" s="19">
        <v>0.01</v>
      </c>
      <c r="P68" s="19">
        <v>0.01</v>
      </c>
      <c r="Q68" s="19">
        <v>0.01</v>
      </c>
      <c r="R68" s="19">
        <v>0.01</v>
      </c>
      <c r="S68" s="19">
        <v>0.01</v>
      </c>
      <c r="T68" s="19">
        <v>0.01</v>
      </c>
      <c r="U68" s="19">
        <v>0.01</v>
      </c>
      <c r="V68" s="18"/>
      <c r="W68" s="18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7">
        <f>SUMIF(Table1[[#This Row],[Autumn Week 1]:[Spring Week 12]],"&gt;0",Table1[[#This Row],[Autumn Week 1]:[Spring Week 12]])</f>
        <v>0.09</v>
      </c>
      <c r="AL68" s="27">
        <f>IF(Table1[[#This Row],[Hours]]&gt;0,Table1[[#This Row],[Hours]],Table1[[#This Row],[Nominal Hours]])*COUNTIF(Table1[[#This Row],[Autumn Week 1]:[Spring Week 12]],"&gt;0")</f>
        <v>4.5</v>
      </c>
    </row>
    <row r="69" spans="1:38" ht="28">
      <c r="A69" s="4" t="s">
        <v>1</v>
      </c>
      <c r="B69" s="2" t="s">
        <v>2</v>
      </c>
      <c r="C69" s="11" t="s">
        <v>279</v>
      </c>
      <c r="D69" s="29">
        <f>INDEX(Table2[CA weight],MATCH(Table1[[#This Row],[Module Code]],Table2[Module Code],0))</f>
        <v>20</v>
      </c>
      <c r="E69" s="29">
        <f>INDEX(Table2[Credits],MATCH(Table1[[#This Row],[Module Code]],Table2[Module Code],0))</f>
        <v>20</v>
      </c>
      <c r="F69" s="37" t="s">
        <v>300</v>
      </c>
      <c r="G69" s="11" t="s">
        <v>229</v>
      </c>
      <c r="H69" s="11" t="s">
        <v>305</v>
      </c>
      <c r="I69" s="11">
        <v>1</v>
      </c>
      <c r="J69" s="11">
        <f>AVERAGE(Table1[[#This Row],[Autumn Week 1]:[Spring Week 12]])*4*Table1[[#This Row],[Credits]]</f>
        <v>8</v>
      </c>
      <c r="K69" s="11">
        <v>0.5</v>
      </c>
      <c r="L69" s="18"/>
      <c r="M69" s="18"/>
      <c r="N69" s="18"/>
      <c r="O69" s="19"/>
      <c r="P69" s="18"/>
      <c r="Q69" s="18"/>
      <c r="R69" s="18"/>
      <c r="S69" s="19"/>
      <c r="T69" s="18"/>
      <c r="U69" s="18"/>
      <c r="V69" s="18">
        <v>0.1</v>
      </c>
      <c r="W69" s="19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7">
        <f>SUMIF(Table1[[#This Row],[Autumn Week 1]:[Spring Week 12]],"&gt;0",Table1[[#This Row],[Autumn Week 1]:[Spring Week 12]])</f>
        <v>0.1</v>
      </c>
      <c r="AL69" s="27">
        <f>IF(Table1[[#This Row],[Hours]]&gt;0,Table1[[#This Row],[Hours]],Table1[[#This Row],[Nominal Hours]])*COUNTIF(Table1[[#This Row],[Autumn Week 1]:[Spring Week 12]],"&gt;0")</f>
        <v>0.5</v>
      </c>
    </row>
    <row r="70" spans="1:38">
      <c r="A70" s="4" t="s">
        <v>1</v>
      </c>
      <c r="B70" s="2" t="s">
        <v>2</v>
      </c>
      <c r="C70" s="11" t="s">
        <v>5</v>
      </c>
      <c r="D70" s="29">
        <f>INDEX(Table2[CA weight],MATCH(Table1[[#This Row],[Module Code]],Table2[Module Code],0))</f>
        <v>20</v>
      </c>
      <c r="E70" s="29">
        <f>INDEX(Table2[Credits],MATCH(Table1[[#This Row],[Module Code]],Table2[Module Code],0))</f>
        <v>20</v>
      </c>
      <c r="F70" s="11" t="s">
        <v>206</v>
      </c>
      <c r="G70" s="11" t="s">
        <v>229</v>
      </c>
      <c r="H70" s="11" t="s">
        <v>305</v>
      </c>
      <c r="I70" s="11">
        <v>4</v>
      </c>
      <c r="J70" s="11">
        <f>AVERAGE(Table1[[#This Row],[Autumn Week 1]:[Spring Week 12]])*4*Table1[[#This Row],[Credits]]</f>
        <v>8</v>
      </c>
      <c r="K70" s="11"/>
      <c r="L70" s="19"/>
      <c r="M70" s="19"/>
      <c r="N70" s="19"/>
      <c r="O70" s="19"/>
      <c r="P70" s="19"/>
      <c r="Q70" s="19"/>
      <c r="R70" s="19"/>
      <c r="S70" s="19">
        <v>0.1</v>
      </c>
      <c r="T70" s="19"/>
      <c r="U70" s="18"/>
      <c r="V70" s="18"/>
      <c r="W70" s="18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7">
        <f>SUMIF(Table1[[#This Row],[Autumn Week 1]:[Spring Week 12]],"&gt;0",Table1[[#This Row],[Autumn Week 1]:[Spring Week 12]])</f>
        <v>0.1</v>
      </c>
      <c r="AL70" s="27">
        <f>IF(Table1[[#This Row],[Hours]]&gt;0,Table1[[#This Row],[Hours]],Table1[[#This Row],[Nominal Hours]])*COUNTIF(Table1[[#This Row],[Autumn Week 1]:[Spring Week 12]],"&gt;0")</f>
        <v>8</v>
      </c>
    </row>
    <row r="71" spans="1:38">
      <c r="A71" s="4" t="s">
        <v>248</v>
      </c>
      <c r="B71" s="2" t="s">
        <v>236</v>
      </c>
      <c r="C71" s="11" t="s">
        <v>125</v>
      </c>
      <c r="D71" s="29">
        <f>INDEX(Table2[CA weight],MATCH(Table1[[#This Row],[Module Code]],Table2[Module Code],0))</f>
        <v>30</v>
      </c>
      <c r="E71" s="29">
        <f>INDEX(Table2[Credits],MATCH(Table1[[#This Row],[Module Code]],Table2[Module Code],0))</f>
        <v>10</v>
      </c>
      <c r="F71" s="11" t="s">
        <v>374</v>
      </c>
      <c r="G71" s="11" t="s">
        <v>229</v>
      </c>
      <c r="H71" s="11" t="s">
        <v>311</v>
      </c>
      <c r="I71" s="13">
        <v>1</v>
      </c>
      <c r="J71" s="11">
        <f>AVERAGE(Table1[[#This Row],[Autumn Week 1]:[Spring Week 12]])*4*Table1[[#This Row],[Credits]]</f>
        <v>1.3333333333333333</v>
      </c>
      <c r="K71" s="11"/>
      <c r="L71" s="18"/>
      <c r="M71" s="18">
        <f>0.3/9</f>
        <v>3.3333333333333333E-2</v>
      </c>
      <c r="N71" s="18">
        <f t="shared" ref="N71:U71" si="1">0.3/9</f>
        <v>3.3333333333333333E-2</v>
      </c>
      <c r="O71" s="18">
        <f t="shared" si="1"/>
        <v>3.3333333333333333E-2</v>
      </c>
      <c r="P71" s="18">
        <f t="shared" si="1"/>
        <v>3.3333333333333333E-2</v>
      </c>
      <c r="Q71" s="18">
        <f t="shared" si="1"/>
        <v>3.3333333333333333E-2</v>
      </c>
      <c r="R71" s="18">
        <f t="shared" si="1"/>
        <v>3.3333333333333333E-2</v>
      </c>
      <c r="S71" s="18">
        <f t="shared" si="1"/>
        <v>3.3333333333333333E-2</v>
      </c>
      <c r="T71" s="18">
        <f t="shared" si="1"/>
        <v>3.3333333333333333E-2</v>
      </c>
      <c r="U71" s="18">
        <f t="shared" si="1"/>
        <v>3.3333333333333333E-2</v>
      </c>
      <c r="V71" s="18"/>
      <c r="W71" s="23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7">
        <f>SUMIF(Table1[[#This Row],[Autumn Week 1]:[Spring Week 12]],"&gt;0",Table1[[#This Row],[Autumn Week 1]:[Spring Week 12]])</f>
        <v>0.3</v>
      </c>
      <c r="AL71" s="27">
        <f>IF(Table1[[#This Row],[Hours]]&gt;0,Table1[[#This Row],[Hours]],Table1[[#This Row],[Nominal Hours]])*COUNTIF(Table1[[#This Row],[Autumn Week 1]:[Spring Week 12]],"&gt;0")</f>
        <v>12</v>
      </c>
    </row>
    <row r="72" spans="1:38">
      <c r="A72" s="4" t="s">
        <v>8</v>
      </c>
      <c r="B72" s="2" t="s">
        <v>9</v>
      </c>
      <c r="C72" s="11" t="s">
        <v>125</v>
      </c>
      <c r="D72" s="29">
        <f>INDEX(Table2[CA weight],MATCH(Table1[[#This Row],[Module Code]],Table2[Module Code],0))</f>
        <v>100</v>
      </c>
      <c r="E72" s="29">
        <f>INDEX(Table2[Credits],MATCH(Table1[[#This Row],[Module Code]],Table2[Module Code],0))</f>
        <v>10</v>
      </c>
      <c r="F72" s="11" t="s">
        <v>301</v>
      </c>
      <c r="G72" s="11" t="s">
        <v>220</v>
      </c>
      <c r="H72" s="11"/>
      <c r="I72" s="11">
        <v>1</v>
      </c>
      <c r="J72" s="11">
        <f>AVERAGE(Table1[[#This Row],[Autumn Week 1]:[Spring Week 12]])*4*Table1[[#This Row],[Credits]]</f>
        <v>2.5</v>
      </c>
      <c r="K72" s="11">
        <v>0.5</v>
      </c>
      <c r="L72" s="18"/>
      <c r="M72" s="18">
        <v>2.5000000000000001E-2</v>
      </c>
      <c r="N72" s="18">
        <v>2.5000000000000001E-2</v>
      </c>
      <c r="O72" s="18">
        <v>2.5000000000000001E-2</v>
      </c>
      <c r="P72" s="18">
        <v>2.5000000000000001E-2</v>
      </c>
      <c r="Q72" s="18"/>
      <c r="R72" s="18">
        <v>0.1</v>
      </c>
      <c r="S72" s="19">
        <v>0.1</v>
      </c>
      <c r="T72" s="18">
        <v>0.1</v>
      </c>
      <c r="U72" s="18">
        <v>0.1</v>
      </c>
      <c r="V72" s="18"/>
      <c r="W72" s="23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7">
        <f>SUMIF(Table1[[#This Row],[Autumn Week 1]:[Spring Week 12]],"&gt;0",Table1[[#This Row],[Autumn Week 1]:[Spring Week 12]])</f>
        <v>0.5</v>
      </c>
      <c r="AL72" s="27">
        <f>IF(Table1[[#This Row],[Hours]]&gt;0,Table1[[#This Row],[Hours]],Table1[[#This Row],[Nominal Hours]])*COUNTIF(Table1[[#This Row],[Autumn Week 1]:[Spring Week 12]],"&gt;0")</f>
        <v>4</v>
      </c>
    </row>
    <row r="73" spans="1:38">
      <c r="A73" s="4" t="s">
        <v>8</v>
      </c>
      <c r="B73" s="2" t="s">
        <v>9</v>
      </c>
      <c r="C73" s="11" t="s">
        <v>122</v>
      </c>
      <c r="D73" s="29">
        <f>INDEX(Table2[CA weight],MATCH(Table1[[#This Row],[Module Code]],Table2[Module Code],0))</f>
        <v>100</v>
      </c>
      <c r="E73" s="29">
        <f>INDEX(Table2[Credits],MATCH(Table1[[#This Row],[Module Code]],Table2[Module Code],0))</f>
        <v>10</v>
      </c>
      <c r="F73" s="11" t="s">
        <v>281</v>
      </c>
      <c r="G73" s="11" t="s">
        <v>229</v>
      </c>
      <c r="H73" s="11" t="s">
        <v>351</v>
      </c>
      <c r="I73" s="11">
        <v>1</v>
      </c>
      <c r="J73" s="11">
        <f>AVERAGE(Table1[[#This Row],[Autumn Week 1]:[Spring Week 12]])*4*Table1[[#This Row],[Credits]]</f>
        <v>4</v>
      </c>
      <c r="K73" s="11">
        <v>0.5</v>
      </c>
      <c r="L73" s="18"/>
      <c r="M73" s="18"/>
      <c r="N73" s="18"/>
      <c r="O73" s="18"/>
      <c r="P73" s="18"/>
      <c r="Q73" s="18">
        <v>0.1</v>
      </c>
      <c r="R73" s="18"/>
      <c r="S73" s="18"/>
      <c r="T73" s="18"/>
      <c r="U73" s="19"/>
      <c r="V73" s="18">
        <v>0.1</v>
      </c>
      <c r="W73" s="19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7">
        <f>SUMIF(Table1[[#This Row],[Autumn Week 1]:[Spring Week 12]],"&gt;0",Table1[[#This Row],[Autumn Week 1]:[Spring Week 12]])</f>
        <v>0.2</v>
      </c>
      <c r="AL73" s="27">
        <f>IF(Table1[[#This Row],[Hours]]&gt;0,Table1[[#This Row],[Hours]],Table1[[#This Row],[Nominal Hours]])*COUNTIF(Table1[[#This Row],[Autumn Week 1]:[Spring Week 12]],"&gt;0")</f>
        <v>1</v>
      </c>
    </row>
    <row r="74" spans="1:38">
      <c r="A74" s="4" t="s">
        <v>8</v>
      </c>
      <c r="B74" s="2" t="s">
        <v>9</v>
      </c>
      <c r="C74" s="11" t="s">
        <v>5</v>
      </c>
      <c r="D74" s="29">
        <f>INDEX(Table2[CA weight],MATCH(Table1[[#This Row],[Module Code]],Table2[Module Code],0))</f>
        <v>100</v>
      </c>
      <c r="E74" s="29">
        <f>INDEX(Table2[Credits],MATCH(Table1[[#This Row],[Module Code]],Table2[Module Code],0))</f>
        <v>10</v>
      </c>
      <c r="F74" s="11" t="s">
        <v>206</v>
      </c>
      <c r="G74" s="11" t="s">
        <v>229</v>
      </c>
      <c r="H74" s="11" t="s">
        <v>351</v>
      </c>
      <c r="I74" s="11">
        <v>4</v>
      </c>
      <c r="J74" s="11">
        <f>AVERAGE(Table1[[#This Row],[Autumn Week 1]:[Spring Week 12]])*4*Table1[[#This Row],[Credits]]</f>
        <v>16</v>
      </c>
      <c r="K74" s="11">
        <v>20</v>
      </c>
      <c r="L74" s="23"/>
      <c r="M74" s="23"/>
      <c r="N74" s="23"/>
      <c r="O74" s="23"/>
      <c r="P74" s="23"/>
      <c r="Q74" s="23"/>
      <c r="R74" s="23">
        <v>0.35</v>
      </c>
      <c r="S74" s="23"/>
      <c r="T74" s="23"/>
      <c r="U74" s="23"/>
      <c r="V74" s="23">
        <v>0.45</v>
      </c>
      <c r="W74" s="23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7">
        <f>SUMIF(Table1[[#This Row],[Autumn Week 1]:[Spring Week 12]],"&gt;0",Table1[[#This Row],[Autumn Week 1]:[Spring Week 12]])</f>
        <v>0.8</v>
      </c>
      <c r="AL74" s="27">
        <f>IF(Table1[[#This Row],[Hours]]&gt;0,Table1[[#This Row],[Hours]],Table1[[#This Row],[Nominal Hours]])*COUNTIF(Table1[[#This Row],[Autumn Week 1]:[Spring Week 12]],"&gt;0")</f>
        <v>40</v>
      </c>
    </row>
    <row r="75" spans="1:38">
      <c r="A75" s="4" t="s">
        <v>10</v>
      </c>
      <c r="B75" s="2" t="s">
        <v>11</v>
      </c>
      <c r="C75" s="11" t="s">
        <v>5</v>
      </c>
      <c r="D75" s="29">
        <f>INDEX(Table2[CA weight],MATCH(Table1[[#This Row],[Module Code]],Table2[Module Code],0))</f>
        <v>20</v>
      </c>
      <c r="E75" s="29">
        <f>INDEX(Table2[Credits],MATCH(Table1[[#This Row],[Module Code]],Table2[Module Code],0))</f>
        <v>10</v>
      </c>
      <c r="F75" s="11" t="s">
        <v>206</v>
      </c>
      <c r="G75" s="11" t="s">
        <v>229</v>
      </c>
      <c r="H75" s="11" t="s">
        <v>305</v>
      </c>
      <c r="I75" s="11">
        <v>4</v>
      </c>
      <c r="J75" s="11">
        <f>AVERAGE(Table1[[#This Row],[Autumn Week 1]:[Spring Week 12]])*4*Table1[[#This Row],[Credits]]</f>
        <v>1.3333333333333333</v>
      </c>
      <c r="K75" s="11"/>
      <c r="L75" s="18"/>
      <c r="M75" s="18"/>
      <c r="N75" s="18"/>
      <c r="O75" s="18"/>
      <c r="P75" s="18">
        <v>0.1</v>
      </c>
      <c r="Q75" s="19"/>
      <c r="R75" s="23"/>
      <c r="S75" s="23"/>
      <c r="T75" s="23">
        <v>-0.1</v>
      </c>
      <c r="U75" s="23">
        <v>0.1</v>
      </c>
      <c r="V75" s="23"/>
      <c r="W75" s="23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7">
        <f>SUMIF(Table1[[#This Row],[Autumn Week 1]:[Spring Week 12]],"&gt;0",Table1[[#This Row],[Autumn Week 1]:[Spring Week 12]])</f>
        <v>0.2</v>
      </c>
      <c r="AL75" s="27">
        <f>IF(Table1[[#This Row],[Hours]]&gt;0,Table1[[#This Row],[Hours]],Table1[[#This Row],[Nominal Hours]])*COUNTIF(Table1[[#This Row],[Autumn Week 1]:[Spring Week 12]],"&gt;0")</f>
        <v>2.6666666666666665</v>
      </c>
    </row>
    <row r="76" spans="1:38">
      <c r="A76" s="4" t="s">
        <v>14</v>
      </c>
      <c r="B76" s="2" t="s">
        <v>13</v>
      </c>
      <c r="C76" s="11" t="s">
        <v>5</v>
      </c>
      <c r="D76" s="29">
        <f>INDEX(Table2[CA weight],MATCH(Table1[[#This Row],[Module Code]],Table2[Module Code],0))</f>
        <v>100</v>
      </c>
      <c r="E76" s="29">
        <f>INDEX(Table2[Credits],MATCH(Table1[[#This Row],[Module Code]],Table2[Module Code],0))</f>
        <v>10</v>
      </c>
      <c r="F76" s="11" t="s">
        <v>211</v>
      </c>
      <c r="G76" s="11" t="s">
        <v>229</v>
      </c>
      <c r="H76" s="11" t="s">
        <v>311</v>
      </c>
      <c r="I76" s="11">
        <v>1</v>
      </c>
      <c r="J76" s="11">
        <f>AVERAGE(Table1[[#This Row],[Autumn Week 1]:[Spring Week 12]])*4*Table1[[#This Row],[Credits]]</f>
        <v>10</v>
      </c>
      <c r="K76" s="11">
        <v>9</v>
      </c>
      <c r="L76" s="18"/>
      <c r="M76" s="18"/>
      <c r="N76" s="18"/>
      <c r="O76" s="18">
        <v>0.25</v>
      </c>
      <c r="P76" s="18">
        <v>0.25</v>
      </c>
      <c r="Q76" s="18"/>
      <c r="R76" s="18">
        <v>0.25</v>
      </c>
      <c r="S76" s="18"/>
      <c r="T76" s="24"/>
      <c r="U76" s="19"/>
      <c r="V76" s="19"/>
      <c r="W76" s="23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7">
        <f>SUMIF(Table1[[#This Row],[Autumn Week 1]:[Spring Week 12]],"&gt;0",Table1[[#This Row],[Autumn Week 1]:[Spring Week 12]])</f>
        <v>0.75</v>
      </c>
      <c r="AL76" s="27">
        <f>IF(Table1[[#This Row],[Hours]]&gt;0,Table1[[#This Row],[Hours]],Table1[[#This Row],[Nominal Hours]])*COUNTIF(Table1[[#This Row],[Autumn Week 1]:[Spring Week 12]],"&gt;0")</f>
        <v>27</v>
      </c>
    </row>
    <row r="77" spans="1:38">
      <c r="A77" s="4" t="s">
        <v>14</v>
      </c>
      <c r="B77" s="2" t="s">
        <v>13</v>
      </c>
      <c r="C77" s="11" t="s">
        <v>125</v>
      </c>
      <c r="D77" s="29">
        <f>INDEX(Table2[CA weight],MATCH(Table1[[#This Row],[Module Code]],Table2[Module Code],0))</f>
        <v>100</v>
      </c>
      <c r="E77" s="29">
        <f>INDEX(Table2[Credits],MATCH(Table1[[#This Row],[Module Code]],Table2[Module Code],0))</f>
        <v>10</v>
      </c>
      <c r="F77" s="11" t="s">
        <v>261</v>
      </c>
      <c r="G77" s="11" t="s">
        <v>229</v>
      </c>
      <c r="H77" s="11" t="s">
        <v>311</v>
      </c>
      <c r="I77" s="11">
        <v>1</v>
      </c>
      <c r="J77" s="11">
        <f>AVERAGE(Table1[[#This Row],[Autumn Week 1]:[Spring Week 12]])*4*Table1[[#This Row],[Credits]]</f>
        <v>4</v>
      </c>
      <c r="K77" s="11">
        <v>0.5</v>
      </c>
      <c r="L77" s="18"/>
      <c r="M77" s="18"/>
      <c r="N77" s="18"/>
      <c r="O77" s="18"/>
      <c r="P77" s="18"/>
      <c r="Q77" s="18">
        <v>0.1</v>
      </c>
      <c r="R77" s="24"/>
      <c r="S77" s="18"/>
      <c r="T77" s="24"/>
      <c r="U77" s="19"/>
      <c r="V77" s="19"/>
      <c r="W77" s="23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7">
        <f>SUMIF(Table1[[#This Row],[Autumn Week 1]:[Spring Week 12]],"&gt;0",Table1[[#This Row],[Autumn Week 1]:[Spring Week 12]])</f>
        <v>0.1</v>
      </c>
      <c r="AL77" s="27">
        <f>IF(Table1[[#This Row],[Hours]]&gt;0,Table1[[#This Row],[Hours]],Table1[[#This Row],[Nominal Hours]])*COUNTIF(Table1[[#This Row],[Autumn Week 1]:[Spring Week 12]],"&gt;0")</f>
        <v>0.5</v>
      </c>
    </row>
    <row r="78" spans="1:38">
      <c r="A78" s="4" t="s">
        <v>14</v>
      </c>
      <c r="B78" s="2" t="s">
        <v>13</v>
      </c>
      <c r="C78" s="11" t="s">
        <v>121</v>
      </c>
      <c r="D78" s="29">
        <f>INDEX(Table2[CA weight],MATCH(Table1[[#This Row],[Module Code]],Table2[Module Code],0))</f>
        <v>100</v>
      </c>
      <c r="E78" s="29">
        <f>INDEX(Table2[Credits],MATCH(Table1[[#This Row],[Module Code]],Table2[Module Code],0))</f>
        <v>10</v>
      </c>
      <c r="F78" s="11" t="s">
        <v>208</v>
      </c>
      <c r="G78" s="11" t="s">
        <v>229</v>
      </c>
      <c r="H78" s="11" t="s">
        <v>351</v>
      </c>
      <c r="I78" s="11">
        <v>5</v>
      </c>
      <c r="J78" s="11">
        <f>AVERAGE(Table1[[#This Row],[Autumn Week 1]:[Spring Week 12]])*4*Table1[[#This Row],[Credits]]</f>
        <v>6</v>
      </c>
      <c r="K78" s="11">
        <v>15</v>
      </c>
      <c r="L78" s="23"/>
      <c r="M78" s="23"/>
      <c r="N78" s="23"/>
      <c r="O78" s="23"/>
      <c r="P78" s="23"/>
      <c r="Q78" s="23"/>
      <c r="R78" s="23"/>
      <c r="S78" s="23"/>
      <c r="T78" s="23"/>
      <c r="U78" s="23">
        <v>0.15</v>
      </c>
      <c r="V78" s="23"/>
      <c r="W78" s="23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7">
        <f>SUMIF(Table1[[#This Row],[Autumn Week 1]:[Spring Week 12]],"&gt;0",Table1[[#This Row],[Autumn Week 1]:[Spring Week 12]])</f>
        <v>0.15</v>
      </c>
      <c r="AL78" s="27">
        <f>IF(Table1[[#This Row],[Hours]]&gt;0,Table1[[#This Row],[Hours]],Table1[[#This Row],[Nominal Hours]])*COUNTIF(Table1[[#This Row],[Autumn Week 1]:[Spring Week 12]],"&gt;0")</f>
        <v>15</v>
      </c>
    </row>
    <row r="79" spans="1:38">
      <c r="A79" s="4" t="s">
        <v>15</v>
      </c>
      <c r="B79" s="2" t="s">
        <v>145</v>
      </c>
      <c r="C79" s="11" t="s">
        <v>125</v>
      </c>
      <c r="D79" s="29">
        <f>INDEX(Table2[CA weight],MATCH(Table1[[#This Row],[Module Code]],Table2[Module Code],0))</f>
        <v>100</v>
      </c>
      <c r="E79" s="29">
        <f>INDEX(Table2[Credits],MATCH(Table1[[#This Row],[Module Code]],Table2[Module Code],0))</f>
        <v>10</v>
      </c>
      <c r="F79" s="11" t="s">
        <v>301</v>
      </c>
      <c r="G79" s="11" t="s">
        <v>220</v>
      </c>
      <c r="H79" s="11" t="s">
        <v>379</v>
      </c>
      <c r="I79" s="11">
        <v>1</v>
      </c>
      <c r="J79" s="11">
        <f>AVERAGE(Table1[[#This Row],[Autumn Week 1]:[Spring Week 12]])*4*Table1[[#This Row],[Credits]]</f>
        <v>2.125</v>
      </c>
      <c r="K79" s="11">
        <v>0.5</v>
      </c>
      <c r="L79" s="18">
        <v>2.5000000000000001E-2</v>
      </c>
      <c r="M79" s="18">
        <v>2.5000000000000001E-2</v>
      </c>
      <c r="N79" s="18">
        <v>2.5000000000000001E-2</v>
      </c>
      <c r="O79" s="18">
        <v>2.5000000000000001E-2</v>
      </c>
      <c r="P79" s="18"/>
      <c r="Q79" s="18"/>
      <c r="R79" s="18">
        <v>2.5000000000000001E-2</v>
      </c>
      <c r="S79" s="19">
        <v>0.25</v>
      </c>
      <c r="T79" s="18">
        <v>2.5000000000000001E-2</v>
      </c>
      <c r="U79" s="18">
        <v>2.5000000000000001E-2</v>
      </c>
      <c r="V79" s="18"/>
      <c r="W79" s="23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7">
        <f>SUMIF(Table1[[#This Row],[Autumn Week 1]:[Spring Week 12]],"&gt;0",Table1[[#This Row],[Autumn Week 1]:[Spring Week 12]])</f>
        <v>0.42500000000000004</v>
      </c>
      <c r="AL79" s="27">
        <f>IF(Table1[[#This Row],[Hours]]&gt;0,Table1[[#This Row],[Hours]],Table1[[#This Row],[Nominal Hours]])*COUNTIF(Table1[[#This Row],[Autumn Week 1]:[Spring Week 12]],"&gt;0")</f>
        <v>4</v>
      </c>
    </row>
    <row r="80" spans="1:38">
      <c r="A80" s="4" t="s">
        <v>15</v>
      </c>
      <c r="B80" s="2" t="s">
        <v>145</v>
      </c>
      <c r="C80" s="11" t="s">
        <v>122</v>
      </c>
      <c r="D80" s="29">
        <f>INDEX(Table2[CA weight],MATCH(Table1[[#This Row],[Module Code]],Table2[Module Code],0))</f>
        <v>100</v>
      </c>
      <c r="E80" s="29">
        <f>INDEX(Table2[Credits],MATCH(Table1[[#This Row],[Module Code]],Table2[Module Code],0))</f>
        <v>10</v>
      </c>
      <c r="F80" s="11" t="s">
        <v>281</v>
      </c>
      <c r="G80" s="11" t="s">
        <v>229</v>
      </c>
      <c r="H80" s="11" t="s">
        <v>305</v>
      </c>
      <c r="I80" s="11">
        <v>1</v>
      </c>
      <c r="J80" s="11">
        <f>AVERAGE(Table1[[#This Row],[Autumn Week 1]:[Spring Week 12]])*4*Table1[[#This Row],[Credits]]</f>
        <v>4</v>
      </c>
      <c r="K80" s="11">
        <v>0.5</v>
      </c>
      <c r="L80" s="18"/>
      <c r="M80" s="18"/>
      <c r="N80" s="18"/>
      <c r="O80" s="19"/>
      <c r="P80" s="18">
        <v>0.1</v>
      </c>
      <c r="Q80" s="18"/>
      <c r="R80" s="18"/>
      <c r="S80" s="19"/>
      <c r="T80" s="18"/>
      <c r="U80" s="18"/>
      <c r="V80" s="18">
        <v>0.1</v>
      </c>
      <c r="W80" s="19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7">
        <f>SUMIF(Table1[[#This Row],[Autumn Week 1]:[Spring Week 12]],"&gt;0",Table1[[#This Row],[Autumn Week 1]:[Spring Week 12]])</f>
        <v>0.2</v>
      </c>
      <c r="AL80" s="27">
        <f>IF(Table1[[#This Row],[Hours]]&gt;0,Table1[[#This Row],[Hours]],Table1[[#This Row],[Nominal Hours]])*COUNTIF(Table1[[#This Row],[Autumn Week 1]:[Spring Week 12]],"&gt;0")</f>
        <v>1</v>
      </c>
    </row>
    <row r="81" spans="1:38">
      <c r="A81" s="4" t="s">
        <v>15</v>
      </c>
      <c r="B81" s="2" t="s">
        <v>145</v>
      </c>
      <c r="C81" s="11" t="s">
        <v>5</v>
      </c>
      <c r="D81" s="29">
        <f>INDEX(Table2[CA weight],MATCH(Table1[[#This Row],[Module Code]],Table2[Module Code],0))</f>
        <v>100</v>
      </c>
      <c r="E81" s="29">
        <f>INDEX(Table2[Credits],MATCH(Table1[[#This Row],[Module Code]],Table2[Module Code],0))</f>
        <v>10</v>
      </c>
      <c r="F81" s="11" t="s">
        <v>206</v>
      </c>
      <c r="G81" s="11" t="s">
        <v>229</v>
      </c>
      <c r="H81" s="11" t="s">
        <v>305</v>
      </c>
      <c r="I81" s="11">
        <v>4</v>
      </c>
      <c r="J81" s="11">
        <f>AVERAGE(Table1[[#This Row],[Autumn Week 1]:[Spring Week 12]])*4*Table1[[#This Row],[Credits]]</f>
        <v>16</v>
      </c>
      <c r="K81" s="11">
        <v>20</v>
      </c>
      <c r="L81" s="23"/>
      <c r="M81" s="23"/>
      <c r="N81" s="23"/>
      <c r="O81" s="23"/>
      <c r="P81" s="23"/>
      <c r="Q81" s="23">
        <v>0.35</v>
      </c>
      <c r="R81" s="23"/>
      <c r="S81" s="23"/>
      <c r="T81" s="23"/>
      <c r="U81" s="23">
        <v>0.45</v>
      </c>
      <c r="V81" s="23"/>
      <c r="W81" s="23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7">
        <f>SUMIF(Table1[[#This Row],[Autumn Week 1]:[Spring Week 12]],"&gt;0",Table1[[#This Row],[Autumn Week 1]:[Spring Week 12]])</f>
        <v>0.8</v>
      </c>
      <c r="AL81" s="27">
        <f>IF(Table1[[#This Row],[Hours]]&gt;0,Table1[[#This Row],[Hours]],Table1[[#This Row],[Nominal Hours]])*COUNTIF(Table1[[#This Row],[Autumn Week 1]:[Spring Week 12]],"&gt;0")</f>
        <v>40</v>
      </c>
    </row>
    <row r="82" spans="1:38" ht="28">
      <c r="A82" s="4" t="s">
        <v>16</v>
      </c>
      <c r="B82" s="2" t="s">
        <v>17</v>
      </c>
      <c r="C82" s="11" t="s">
        <v>125</v>
      </c>
      <c r="D82" s="29">
        <f>INDEX(Table2[CA weight],MATCH(Table1[[#This Row],[Module Code]],Table2[Module Code],0))</f>
        <v>30</v>
      </c>
      <c r="E82" s="29">
        <f>INDEX(Table2[Credits],MATCH(Table1[[#This Row],[Module Code]],Table2[Module Code],0))</f>
        <v>10</v>
      </c>
      <c r="F82" s="37" t="s">
        <v>286</v>
      </c>
      <c r="G82" s="11" t="s">
        <v>229</v>
      </c>
      <c r="H82" s="11" t="s">
        <v>305</v>
      </c>
      <c r="I82" s="13">
        <v>1</v>
      </c>
      <c r="J82" s="11">
        <f>AVERAGE(Table1[[#This Row],[Autumn Week 1]:[Spring Week 12]])*4*Table1[[#This Row],[Credits]]</f>
        <v>0.39999999999999991</v>
      </c>
      <c r="K82" s="11">
        <v>0.5</v>
      </c>
      <c r="L82" s="25"/>
      <c r="M82" s="26">
        <v>0.01</v>
      </c>
      <c r="N82" s="26">
        <v>0.01</v>
      </c>
      <c r="O82" s="26">
        <v>0.01</v>
      </c>
      <c r="P82" s="26">
        <v>0.01</v>
      </c>
      <c r="Q82" s="26">
        <v>0.01</v>
      </c>
      <c r="R82" s="26">
        <v>0.01</v>
      </c>
      <c r="S82" s="26">
        <v>0.01</v>
      </c>
      <c r="T82" s="26">
        <v>0.01</v>
      </c>
      <c r="U82" s="26">
        <v>0.01</v>
      </c>
      <c r="V82" s="26">
        <v>0.01</v>
      </c>
      <c r="W82" s="23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7">
        <f>SUMIF(Table1[[#This Row],[Autumn Week 1]:[Spring Week 12]],"&gt;0",Table1[[#This Row],[Autumn Week 1]:[Spring Week 12]])</f>
        <v>9.9999999999999992E-2</v>
      </c>
      <c r="AL82" s="27">
        <f>IF(Table1[[#This Row],[Hours]]&gt;0,Table1[[#This Row],[Hours]],Table1[[#This Row],[Nominal Hours]])*COUNTIF(Table1[[#This Row],[Autumn Week 1]:[Spring Week 12]],"&gt;0")</f>
        <v>5</v>
      </c>
    </row>
    <row r="83" spans="1:38">
      <c r="A83" s="4" t="s">
        <v>16</v>
      </c>
      <c r="B83" s="2" t="s">
        <v>17</v>
      </c>
      <c r="C83" s="13" t="s">
        <v>5</v>
      </c>
      <c r="D83" s="30">
        <f>INDEX(Table2[CA weight],MATCH(Table1[[#This Row],[Module Code]],Table2[Module Code],0))</f>
        <v>30</v>
      </c>
      <c r="E83" s="30">
        <f>INDEX(Table2[Credits],MATCH(Table1[[#This Row],[Module Code]],Table2[Module Code],0))</f>
        <v>10</v>
      </c>
      <c r="F83" s="13" t="s">
        <v>206</v>
      </c>
      <c r="G83" s="11" t="s">
        <v>229</v>
      </c>
      <c r="H83" s="11" t="s">
        <v>305</v>
      </c>
      <c r="I83" s="13">
        <v>4</v>
      </c>
      <c r="J83" s="11">
        <f>AVERAGE(Table1[[#This Row],[Autumn Week 1]:[Spring Week 12]])*4*Table1[[#This Row],[Credits]]</f>
        <v>0</v>
      </c>
      <c r="K83" s="13"/>
      <c r="L83" s="25"/>
      <c r="M83" s="26"/>
      <c r="N83" s="26"/>
      <c r="O83" s="26"/>
      <c r="P83" s="26"/>
      <c r="Q83" s="26"/>
      <c r="R83" s="26">
        <v>-0.2</v>
      </c>
      <c r="S83" s="26"/>
      <c r="T83" s="26">
        <v>0.2</v>
      </c>
      <c r="U83" s="26"/>
      <c r="V83" s="26"/>
      <c r="W83" s="23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7">
        <f>SUMIF(Table1[[#This Row],[Autumn Week 1]:[Spring Week 12]],"&gt;0",Table1[[#This Row],[Autumn Week 1]:[Spring Week 12]])</f>
        <v>0.2</v>
      </c>
      <c r="AL83" s="27">
        <f>IF(Table1[[#This Row],[Hours]]&gt;0,Table1[[#This Row],[Hours]],Table1[[#This Row],[Nominal Hours]])*COUNTIF(Table1[[#This Row],[Autumn Week 1]:[Spring Week 12]],"&gt;0")</f>
        <v>0</v>
      </c>
    </row>
    <row r="84" spans="1:38" ht="28">
      <c r="A84" s="4" t="s">
        <v>18</v>
      </c>
      <c r="B84" s="2" t="s">
        <v>19</v>
      </c>
      <c r="C84" s="11" t="s">
        <v>125</v>
      </c>
      <c r="D84" s="29">
        <f>INDEX(Table2[CA weight],MATCH(Table1[[#This Row],[Module Code]],Table2[Module Code],0))</f>
        <v>30</v>
      </c>
      <c r="E84" s="29">
        <f>INDEX(Table2[Credits],MATCH(Table1[[#This Row],[Module Code]],Table2[Module Code],0))</f>
        <v>10</v>
      </c>
      <c r="F84" s="37" t="s">
        <v>283</v>
      </c>
      <c r="G84" s="11" t="s">
        <v>229</v>
      </c>
      <c r="H84" s="11" t="s">
        <v>311</v>
      </c>
      <c r="I84" s="11">
        <v>1</v>
      </c>
      <c r="J84" s="11">
        <f>AVERAGE(Table1[[#This Row],[Autumn Week 1]:[Spring Week 12]])*4*Table1[[#This Row],[Credits]]</f>
        <v>1.2</v>
      </c>
      <c r="K84" s="11">
        <v>0.5</v>
      </c>
      <c r="L84" s="18">
        <v>0.03</v>
      </c>
      <c r="M84" s="18">
        <v>0.03</v>
      </c>
      <c r="N84" s="18">
        <v>0.03</v>
      </c>
      <c r="O84" s="18">
        <v>0.03</v>
      </c>
      <c r="P84" s="18">
        <v>0.03</v>
      </c>
      <c r="Q84" s="18"/>
      <c r="R84" s="18"/>
      <c r="S84" s="18"/>
      <c r="T84" s="18"/>
      <c r="U84" s="18"/>
      <c r="V84" s="18"/>
      <c r="W84" s="23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7">
        <f>SUMIF(Table1[[#This Row],[Autumn Week 1]:[Spring Week 12]],"&gt;0",Table1[[#This Row],[Autumn Week 1]:[Spring Week 12]])</f>
        <v>0.15</v>
      </c>
      <c r="AL84" s="27">
        <f>IF(Table1[[#This Row],[Hours]]&gt;0,Table1[[#This Row],[Hours]],Table1[[#This Row],[Nominal Hours]])*COUNTIF(Table1[[#This Row],[Autumn Week 1]:[Spring Week 12]],"&gt;0")</f>
        <v>2.5</v>
      </c>
    </row>
    <row r="85" spans="1:38" ht="28">
      <c r="A85" s="4" t="s">
        <v>18</v>
      </c>
      <c r="B85" s="2" t="s">
        <v>19</v>
      </c>
      <c r="C85" s="11" t="s">
        <v>125</v>
      </c>
      <c r="D85" s="29">
        <f>INDEX(Table2[CA weight],MATCH(Table1[[#This Row],[Module Code]],Table2[Module Code],0))</f>
        <v>30</v>
      </c>
      <c r="E85" s="29">
        <f>INDEX(Table2[Credits],MATCH(Table1[[#This Row],[Module Code]],Table2[Module Code],0))</f>
        <v>10</v>
      </c>
      <c r="F85" s="37" t="s">
        <v>283</v>
      </c>
      <c r="G85" s="11" t="s">
        <v>229</v>
      </c>
      <c r="H85" s="11" t="s">
        <v>311</v>
      </c>
      <c r="I85" s="11">
        <v>1</v>
      </c>
      <c r="J85" s="11">
        <f>AVERAGE(Table1[[#This Row],[Autumn Week 1]:[Spring Week 12]])*4*Table1[[#This Row],[Credits]]</f>
        <v>1.2</v>
      </c>
      <c r="K85" s="11">
        <v>0.5</v>
      </c>
      <c r="L85" s="18"/>
      <c r="M85" s="18"/>
      <c r="N85" s="18"/>
      <c r="O85" s="19"/>
      <c r="P85" s="18"/>
      <c r="Q85" s="18">
        <v>0.03</v>
      </c>
      <c r="R85" s="18">
        <v>0.03</v>
      </c>
      <c r="S85" s="18">
        <v>0.03</v>
      </c>
      <c r="T85" s="18">
        <v>0.03</v>
      </c>
      <c r="U85" s="18">
        <v>0.03</v>
      </c>
      <c r="V85" s="18"/>
      <c r="W85" s="19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7">
        <f>SUMIF(Table1[[#This Row],[Autumn Week 1]:[Spring Week 12]],"&gt;0",Table1[[#This Row],[Autumn Week 1]:[Spring Week 12]])</f>
        <v>0.15</v>
      </c>
      <c r="AL85" s="27">
        <f>IF(Table1[[#This Row],[Hours]]&gt;0,Table1[[#This Row],[Hours]],Table1[[#This Row],[Nominal Hours]])*COUNTIF(Table1[[#This Row],[Autumn Week 1]:[Spring Week 12]],"&gt;0")</f>
        <v>2.5</v>
      </c>
    </row>
    <row r="86" spans="1:38">
      <c r="A86" s="4" t="s">
        <v>24</v>
      </c>
      <c r="B86" s="2" t="s">
        <v>20</v>
      </c>
      <c r="C86" s="11" t="s">
        <v>121</v>
      </c>
      <c r="D86" s="29">
        <f>INDEX(Table2[CA weight],MATCH(Table1[[#This Row],[Module Code]],Table2[Module Code],0))</f>
        <v>100</v>
      </c>
      <c r="E86" s="29">
        <f>INDEX(Table2[Credits],MATCH(Table1[[#This Row],[Module Code]],Table2[Module Code],0))</f>
        <v>10</v>
      </c>
      <c r="F86" s="11" t="s">
        <v>375</v>
      </c>
      <c r="G86" s="11" t="s">
        <v>229</v>
      </c>
      <c r="H86" s="11" t="s">
        <v>305</v>
      </c>
      <c r="I86" s="11">
        <v>3</v>
      </c>
      <c r="J86" s="11">
        <f>AVERAGE(Table1[[#This Row],[Autumn Week 1]:[Spring Week 12]])*4*Table1[[#This Row],[Credits]]</f>
        <v>8</v>
      </c>
      <c r="K86" s="11"/>
      <c r="L86" s="18"/>
      <c r="M86" s="18"/>
      <c r="N86" s="18"/>
      <c r="O86" s="19">
        <v>0.2</v>
      </c>
      <c r="P86" s="18"/>
      <c r="Q86" s="18"/>
      <c r="R86" s="18"/>
      <c r="S86" s="19"/>
      <c r="T86" s="18"/>
      <c r="U86" s="18"/>
      <c r="V86" s="18"/>
      <c r="W86" s="19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7">
        <f>SUMIF(Table1[[#This Row],[Autumn Week 1]:[Spring Week 12]],"&gt;0",Table1[[#This Row],[Autumn Week 1]:[Spring Week 12]])</f>
        <v>0.2</v>
      </c>
      <c r="AL86" s="27">
        <f>IF(Table1[[#This Row],[Hours]]&gt;0,Table1[[#This Row],[Hours]],Table1[[#This Row],[Nominal Hours]])*COUNTIF(Table1[[#This Row],[Autumn Week 1]:[Spring Week 12]],"&gt;0")</f>
        <v>8</v>
      </c>
    </row>
    <row r="87" spans="1:38">
      <c r="A87" s="4" t="s">
        <v>24</v>
      </c>
      <c r="B87" s="2" t="s">
        <v>20</v>
      </c>
      <c r="C87" s="11" t="s">
        <v>121</v>
      </c>
      <c r="D87" s="29">
        <f>INDEX(Table2[CA weight],MATCH(Table1[[#This Row],[Module Code]],Table2[Module Code],0))</f>
        <v>100</v>
      </c>
      <c r="E87" s="29">
        <f>INDEX(Table2[Credits],MATCH(Table1[[#This Row],[Module Code]],Table2[Module Code],0))</f>
        <v>10</v>
      </c>
      <c r="F87" s="11" t="s">
        <v>376</v>
      </c>
      <c r="G87" s="11" t="s">
        <v>229</v>
      </c>
      <c r="H87" s="11" t="s">
        <v>327</v>
      </c>
      <c r="I87" s="11">
        <v>2</v>
      </c>
      <c r="J87" s="11">
        <f>AVERAGE(Table1[[#This Row],[Autumn Week 1]:[Spring Week 12]])*4*Table1[[#This Row],[Credits]]</f>
        <v>8</v>
      </c>
      <c r="K87" s="11"/>
      <c r="L87" s="18"/>
      <c r="M87" s="18"/>
      <c r="N87" s="18"/>
      <c r="O87" s="19"/>
      <c r="P87" s="18"/>
      <c r="Q87" s="18"/>
      <c r="R87" s="18">
        <v>0.2</v>
      </c>
      <c r="S87" s="19"/>
      <c r="T87" s="18"/>
      <c r="U87" s="18"/>
      <c r="V87" s="18"/>
      <c r="W87" s="19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7">
        <f>SUMIF(Table1[[#This Row],[Autumn Week 1]:[Spring Week 12]],"&gt;0",Table1[[#This Row],[Autumn Week 1]:[Spring Week 12]])</f>
        <v>0.2</v>
      </c>
      <c r="AL87" s="27">
        <f>IF(Table1[[#This Row],[Hours]]&gt;0,Table1[[#This Row],[Hours]],Table1[[#This Row],[Nominal Hours]])*COUNTIF(Table1[[#This Row],[Autumn Week 1]:[Spring Week 12]],"&gt;0")</f>
        <v>8</v>
      </c>
    </row>
    <row r="88" spans="1:38">
      <c r="A88" s="4" t="s">
        <v>24</v>
      </c>
      <c r="B88" s="2" t="s">
        <v>20</v>
      </c>
      <c r="C88" s="11" t="s">
        <v>5</v>
      </c>
      <c r="D88" s="29">
        <f>INDEX(Table2[CA weight],MATCH(Table1[[#This Row],[Module Code]],Table2[Module Code],0))</f>
        <v>100</v>
      </c>
      <c r="E88" s="29">
        <f>INDEX(Table2[Credits],MATCH(Table1[[#This Row],[Module Code]],Table2[Module Code],0))</f>
        <v>10</v>
      </c>
      <c r="F88" s="11" t="s">
        <v>377</v>
      </c>
      <c r="G88" s="11" t="s">
        <v>229</v>
      </c>
      <c r="H88" s="11" t="s">
        <v>327</v>
      </c>
      <c r="I88" s="11">
        <v>4</v>
      </c>
      <c r="J88" s="11">
        <f>AVERAGE(Table1[[#This Row],[Autumn Week 1]:[Spring Week 12]])*4*Table1[[#This Row],[Credits]]</f>
        <v>8</v>
      </c>
      <c r="K88" s="11"/>
      <c r="L88" s="18"/>
      <c r="M88" s="18"/>
      <c r="N88" s="18"/>
      <c r="O88" s="19"/>
      <c r="P88" s="18"/>
      <c r="Q88" s="18"/>
      <c r="R88" s="18"/>
      <c r="S88" s="19"/>
      <c r="T88" s="18"/>
      <c r="U88" s="18"/>
      <c r="V88" s="18">
        <v>0.2</v>
      </c>
      <c r="W88" s="19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7">
        <f>SUMIF(Table1[[#This Row],[Autumn Week 1]:[Spring Week 12]],"&gt;0",Table1[[#This Row],[Autumn Week 1]:[Spring Week 12]])</f>
        <v>0.2</v>
      </c>
      <c r="AL88" s="27">
        <f>IF(Table1[[#This Row],[Hours]]&gt;0,Table1[[#This Row],[Hours]],Table1[[#This Row],[Nominal Hours]])*COUNTIF(Table1[[#This Row],[Autumn Week 1]:[Spring Week 12]],"&gt;0")</f>
        <v>8</v>
      </c>
    </row>
    <row r="89" spans="1:38">
      <c r="A89" s="4" t="s">
        <v>24</v>
      </c>
      <c r="B89" s="2" t="s">
        <v>20</v>
      </c>
      <c r="C89" s="11" t="s">
        <v>122</v>
      </c>
      <c r="D89" s="29">
        <f>INDEX(Table2[CA weight],MATCH(Table1[[#This Row],[Module Code]],Table2[Module Code],0))</f>
        <v>100</v>
      </c>
      <c r="E89" s="29">
        <f>INDEX(Table2[Credits],MATCH(Table1[[#This Row],[Module Code]],Table2[Module Code],0))</f>
        <v>10</v>
      </c>
      <c r="F89" s="11" t="s">
        <v>378</v>
      </c>
      <c r="G89" s="11" t="s">
        <v>229</v>
      </c>
      <c r="H89" s="11" t="s">
        <v>305</v>
      </c>
      <c r="I89" s="11">
        <v>11</v>
      </c>
      <c r="J89" s="11">
        <f>AVERAGE(Table1[[#This Row],[Autumn Week 1]:[Spring Week 12]])*4*Table1[[#This Row],[Credits]]</f>
        <v>16</v>
      </c>
      <c r="K89" s="11"/>
      <c r="L89" s="18"/>
      <c r="M89" s="18"/>
      <c r="N89" s="18"/>
      <c r="O89" s="19"/>
      <c r="P89" s="18"/>
      <c r="Q89" s="18"/>
      <c r="R89" s="18"/>
      <c r="S89" s="19"/>
      <c r="T89" s="18"/>
      <c r="U89" s="18"/>
      <c r="V89" s="18"/>
      <c r="W89" s="19">
        <v>0.4</v>
      </c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7">
        <f>SUMIF(Table1[[#This Row],[Autumn Week 1]:[Spring Week 12]],"&gt;0",Table1[[#This Row],[Autumn Week 1]:[Spring Week 12]])</f>
        <v>0.4</v>
      </c>
      <c r="AL89" s="27">
        <f>IF(Table1[[#This Row],[Hours]]&gt;0,Table1[[#This Row],[Hours]],Table1[[#This Row],[Nominal Hours]])*COUNTIF(Table1[[#This Row],[Autumn Week 1]:[Spring Week 12]],"&gt;0")</f>
        <v>16</v>
      </c>
    </row>
    <row r="90" spans="1:38">
      <c r="A90" s="8" t="s">
        <v>21</v>
      </c>
      <c r="B90" s="2" t="s">
        <v>22</v>
      </c>
      <c r="C90" s="11" t="s">
        <v>5</v>
      </c>
      <c r="D90" s="29">
        <f>INDEX(Table2[CA weight],MATCH(Table1[[#This Row],[Module Code]],Table2[Module Code],0))</f>
        <v>20</v>
      </c>
      <c r="E90" s="29">
        <f>INDEX(Table2[Credits],MATCH(Table1[[#This Row],[Module Code]],Table2[Module Code],0))</f>
        <v>10</v>
      </c>
      <c r="F90" s="11" t="s">
        <v>208</v>
      </c>
      <c r="G90" s="11" t="s">
        <v>229</v>
      </c>
      <c r="H90" s="11" t="s">
        <v>305</v>
      </c>
      <c r="I90" s="11">
        <v>4</v>
      </c>
      <c r="J90" s="11">
        <f>AVERAGE(Table1[[#This Row],[Autumn Week 1]:[Spring Week 12]])*4*Table1[[#This Row],[Credits]]</f>
        <v>4</v>
      </c>
      <c r="K90" s="11"/>
      <c r="L90" s="18"/>
      <c r="M90" s="18"/>
      <c r="N90" s="18"/>
      <c r="O90" s="18"/>
      <c r="P90" s="18"/>
      <c r="Q90" s="18"/>
      <c r="R90" s="18">
        <v>0.1</v>
      </c>
      <c r="S90" s="18"/>
      <c r="T90" s="18"/>
      <c r="U90" s="18"/>
      <c r="V90" s="18"/>
      <c r="W90" s="23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7">
        <f>SUMIF(Table1[[#This Row],[Autumn Week 1]:[Spring Week 12]],"&gt;0",Table1[[#This Row],[Autumn Week 1]:[Spring Week 12]])</f>
        <v>0.1</v>
      </c>
      <c r="AL90" s="27">
        <f>IF(Table1[[#This Row],[Hours]]&gt;0,Table1[[#This Row],[Hours]],Table1[[#This Row],[Nominal Hours]])*COUNTIF(Table1[[#This Row],[Autumn Week 1]:[Spring Week 12]],"&gt;0")</f>
        <v>4</v>
      </c>
    </row>
    <row r="91" spans="1:38">
      <c r="A91" s="8" t="s">
        <v>21</v>
      </c>
      <c r="B91" s="2" t="s">
        <v>22</v>
      </c>
      <c r="C91" s="11"/>
      <c r="D91" s="29">
        <f>INDEX(Table2[CA weight],MATCH(Table1[[#This Row],[Module Code]],Table2[Module Code],0))</f>
        <v>20</v>
      </c>
      <c r="E91" s="29">
        <f>INDEX(Table2[Credits],MATCH(Table1[[#This Row],[Module Code]],Table2[Module Code],0))</f>
        <v>10</v>
      </c>
      <c r="F91" s="11" t="s">
        <v>206</v>
      </c>
      <c r="G91" s="11" t="s">
        <v>229</v>
      </c>
      <c r="H91" s="11" t="s">
        <v>305</v>
      </c>
      <c r="I91" s="11">
        <v>4</v>
      </c>
      <c r="J91" s="11">
        <f>AVERAGE(Table1[[#This Row],[Autumn Week 1]:[Spring Week 12]])*4*Table1[[#This Row],[Credits]]</f>
        <v>4</v>
      </c>
      <c r="K91" s="11"/>
      <c r="L91" s="18"/>
      <c r="M91" s="18"/>
      <c r="N91" s="18"/>
      <c r="O91" s="19"/>
      <c r="P91" s="18"/>
      <c r="Q91" s="18"/>
      <c r="R91" s="18"/>
      <c r="S91" s="19"/>
      <c r="T91" s="18"/>
      <c r="U91" s="18"/>
      <c r="V91" s="18">
        <v>0.1</v>
      </c>
      <c r="W91" s="19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7">
        <f>SUMIF(Table1[[#This Row],[Autumn Week 1]:[Spring Week 12]],"&gt;0",Table1[[#This Row],[Autumn Week 1]:[Spring Week 12]])</f>
        <v>0.1</v>
      </c>
      <c r="AL91" s="27">
        <f>IF(Table1[[#This Row],[Hours]]&gt;0,Table1[[#This Row],[Hours]],Table1[[#This Row],[Nominal Hours]])*COUNTIF(Table1[[#This Row],[Autumn Week 1]:[Spring Week 12]],"&gt;0")</f>
        <v>4</v>
      </c>
    </row>
    <row r="92" spans="1:38">
      <c r="A92" s="3" t="s">
        <v>106</v>
      </c>
      <c r="B92" s="3" t="s">
        <v>96</v>
      </c>
      <c r="C92" s="11" t="s">
        <v>125</v>
      </c>
      <c r="D92" s="29">
        <f>INDEX(Table2[CA weight],MATCH(Table1[[#This Row],[Module Code]],Table2[Module Code],0))</f>
        <v>30</v>
      </c>
      <c r="E92" s="29">
        <f>INDEX(Table2[Credits],MATCH(Table1[[#This Row],[Module Code]],Table2[Module Code],0))</f>
        <v>20</v>
      </c>
      <c r="F92" s="11" t="s">
        <v>301</v>
      </c>
      <c r="G92" s="11" t="s">
        <v>220</v>
      </c>
      <c r="H92" s="11" t="s">
        <v>380</v>
      </c>
      <c r="I92" s="11">
        <v>1</v>
      </c>
      <c r="J92" s="11">
        <f>AVERAGE(Table1[[#This Row],[Autumn Week 1]:[Spring Week 12]])*4*Table1[[#This Row],[Credits]]</f>
        <v>0.56000000000000005</v>
      </c>
      <c r="K92" s="11">
        <v>0.5</v>
      </c>
      <c r="L92" s="18"/>
      <c r="M92" s="18"/>
      <c r="N92" s="18"/>
      <c r="O92" s="19"/>
      <c r="P92" s="18"/>
      <c r="Q92" s="18"/>
      <c r="R92" s="18"/>
      <c r="S92" s="19"/>
      <c r="T92" s="18"/>
      <c r="U92" s="18"/>
      <c r="V92" s="18"/>
      <c r="W92" s="19"/>
      <c r="X92" s="20">
        <v>7.0000000000000001E-3</v>
      </c>
      <c r="Y92" s="20">
        <v>7.0000000000000001E-3</v>
      </c>
      <c r="Z92" s="20">
        <v>7.0000000000000001E-3</v>
      </c>
      <c r="AA92" s="20">
        <v>7.0000000000000001E-3</v>
      </c>
      <c r="AB92" s="20">
        <v>7.0000000000000001E-3</v>
      </c>
      <c r="AC92" s="20">
        <v>7.0000000000000001E-3</v>
      </c>
      <c r="AD92" s="20">
        <v>7.0000000000000001E-3</v>
      </c>
      <c r="AE92" s="20">
        <v>7.0000000000000001E-3</v>
      </c>
      <c r="AF92" s="20">
        <v>7.0000000000000001E-3</v>
      </c>
      <c r="AG92" s="20">
        <v>7.0000000000000001E-3</v>
      </c>
      <c r="AH92" s="20"/>
      <c r="AI92" s="20"/>
      <c r="AJ92" s="20"/>
      <c r="AK92" s="27">
        <f>SUMIF(Table1[[#This Row],[Autumn Week 1]:[Spring Week 12]],"&gt;0",Table1[[#This Row],[Autumn Week 1]:[Spring Week 12]])</f>
        <v>7.0000000000000007E-2</v>
      </c>
      <c r="AL92" s="27">
        <f>IF(Table1[[#This Row],[Hours]]&gt;0,Table1[[#This Row],[Hours]],Table1[[#This Row],[Nominal Hours]])*COUNTIF(Table1[[#This Row],[Autumn Week 1]:[Spring Week 12]],"&gt;0")</f>
        <v>5</v>
      </c>
    </row>
    <row r="93" spans="1:38" ht="28">
      <c r="A93" s="3" t="s">
        <v>106</v>
      </c>
      <c r="B93" s="3" t="s">
        <v>96</v>
      </c>
      <c r="C93" s="11" t="s">
        <v>122</v>
      </c>
      <c r="D93" s="29">
        <f>INDEX(Table2[CA weight],MATCH(Table1[[#This Row],[Module Code]],Table2[Module Code],0))</f>
        <v>30</v>
      </c>
      <c r="E93" s="29">
        <f>INDEX(Table2[Credits],MATCH(Table1[[#This Row],[Module Code]],Table2[Module Code],0))</f>
        <v>20</v>
      </c>
      <c r="F93" s="37" t="s">
        <v>284</v>
      </c>
      <c r="G93" s="11" t="s">
        <v>229</v>
      </c>
      <c r="H93" s="11" t="s">
        <v>305</v>
      </c>
      <c r="I93" s="11">
        <v>1</v>
      </c>
      <c r="J93" s="11">
        <f>AVERAGE(Table1[[#This Row],[Autumn Week 1]:[Spring Week 12]])*4*Table1[[#This Row],[Credits]]</f>
        <v>5.6000000000000005</v>
      </c>
      <c r="K93" s="11">
        <v>0.5</v>
      </c>
      <c r="L93" s="18"/>
      <c r="M93" s="18"/>
      <c r="N93" s="18"/>
      <c r="O93" s="19"/>
      <c r="P93" s="18"/>
      <c r="Q93" s="18"/>
      <c r="R93" s="18"/>
      <c r="S93" s="19"/>
      <c r="T93" s="18"/>
      <c r="U93" s="18"/>
      <c r="V93" s="18"/>
      <c r="W93" s="19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>
        <v>7.0000000000000007E-2</v>
      </c>
      <c r="AI93" s="20"/>
      <c r="AJ93" s="20"/>
      <c r="AK93" s="27">
        <f>SUMIF(Table1[[#This Row],[Autumn Week 1]:[Spring Week 12]],"&gt;0",Table1[[#This Row],[Autumn Week 1]:[Spring Week 12]])</f>
        <v>7.0000000000000007E-2</v>
      </c>
      <c r="AL93" s="27">
        <f>IF(Table1[[#This Row],[Hours]]&gt;0,Table1[[#This Row],[Hours]],Table1[[#This Row],[Nominal Hours]])*COUNTIF(Table1[[#This Row],[Autumn Week 1]:[Spring Week 12]],"&gt;0")</f>
        <v>0.5</v>
      </c>
    </row>
    <row r="94" spans="1:38">
      <c r="A94" s="3" t="s">
        <v>106</v>
      </c>
      <c r="B94" s="3" t="s">
        <v>96</v>
      </c>
      <c r="C94" s="12" t="s">
        <v>5</v>
      </c>
      <c r="D94" s="29">
        <f>INDEX(Table2[CA weight],MATCH(Table1[[#This Row],[Module Code]],Table2[Module Code],0))</f>
        <v>30</v>
      </c>
      <c r="E94" s="29">
        <f>INDEX(Table2[Credits],MATCH(Table1[[#This Row],[Module Code]],Table2[Module Code],0))</f>
        <v>20</v>
      </c>
      <c r="F94" s="12" t="s">
        <v>206</v>
      </c>
      <c r="G94" s="11" t="s">
        <v>229</v>
      </c>
      <c r="H94" s="11" t="s">
        <v>351</v>
      </c>
      <c r="I94" s="11">
        <v>3</v>
      </c>
      <c r="J94" s="11">
        <f>AVERAGE(Table1[[#This Row],[Autumn Week 1]:[Spring Week 12]])*4*Table1[[#This Row],[Credits]]</f>
        <v>6.1333333333333337</v>
      </c>
      <c r="K94" s="11"/>
      <c r="L94" s="18"/>
      <c r="M94" s="18"/>
      <c r="N94" s="18"/>
      <c r="O94" s="19"/>
      <c r="P94" s="18"/>
      <c r="Q94" s="18"/>
      <c r="R94" s="18"/>
      <c r="S94" s="19"/>
      <c r="T94" s="18"/>
      <c r="U94" s="18"/>
      <c r="V94" s="18"/>
      <c r="W94" s="19"/>
      <c r="X94" s="20"/>
      <c r="Y94" s="20"/>
      <c r="Z94" s="20"/>
      <c r="AA94" s="20"/>
      <c r="AB94" s="20">
        <v>0.09</v>
      </c>
      <c r="AC94" s="20"/>
      <c r="AD94" s="20"/>
      <c r="AE94" s="20">
        <v>7.0000000000000007E-2</v>
      </c>
      <c r="AF94" s="20"/>
      <c r="AG94" s="20"/>
      <c r="AH94" s="20">
        <v>7.0000000000000007E-2</v>
      </c>
      <c r="AI94" s="20"/>
      <c r="AJ94" s="20"/>
      <c r="AK94" s="27">
        <f>SUMIF(Table1[[#This Row],[Autumn Week 1]:[Spring Week 12]],"&gt;0",Table1[[#This Row],[Autumn Week 1]:[Spring Week 12]])</f>
        <v>0.23</v>
      </c>
      <c r="AL94" s="27">
        <f>IF(Table1[[#This Row],[Hours]]&gt;0,Table1[[#This Row],[Hours]],Table1[[#This Row],[Nominal Hours]])*COUNTIF(Table1[[#This Row],[Autumn Week 1]:[Spring Week 12]],"&gt;0")</f>
        <v>18.400000000000002</v>
      </c>
    </row>
    <row r="95" spans="1:38">
      <c r="A95" s="3" t="s">
        <v>188</v>
      </c>
      <c r="B95" s="3" t="s">
        <v>97</v>
      </c>
      <c r="C95" s="12" t="s">
        <v>5</v>
      </c>
      <c r="D95" s="29">
        <f>INDEX(Table2[CA weight],MATCH(Table1[[#This Row],[Module Code]],Table2[Module Code],0))</f>
        <v>20</v>
      </c>
      <c r="E95" s="29">
        <f>INDEX(Table2[Credits],MATCH(Table1[[#This Row],[Module Code]],Table2[Module Code],0))</f>
        <v>10</v>
      </c>
      <c r="F95" s="12" t="s">
        <v>206</v>
      </c>
      <c r="G95" s="11" t="s">
        <v>229</v>
      </c>
      <c r="H95" s="11" t="s">
        <v>351</v>
      </c>
      <c r="I95" s="11">
        <v>6</v>
      </c>
      <c r="J95" s="11">
        <f>AVERAGE(Table1[[#This Row],[Autumn Week 1]:[Spring Week 12]])*4*Table1[[#This Row],[Credits]]</f>
        <v>8</v>
      </c>
      <c r="K95" s="11"/>
      <c r="L95" s="18"/>
      <c r="M95" s="18"/>
      <c r="N95" s="18"/>
      <c r="O95" s="19"/>
      <c r="P95" s="18"/>
      <c r="Q95" s="18"/>
      <c r="R95" s="18"/>
      <c r="S95" s="19"/>
      <c r="T95" s="18"/>
      <c r="U95" s="18"/>
      <c r="V95" s="18"/>
      <c r="W95" s="19"/>
      <c r="X95" s="20"/>
      <c r="Y95" s="20"/>
      <c r="Z95" s="20"/>
      <c r="AA95" s="20"/>
      <c r="AB95" s="20"/>
      <c r="AC95" s="20"/>
      <c r="AD95" s="20"/>
      <c r="AE95" s="20"/>
      <c r="AF95" s="20"/>
      <c r="AG95" s="20">
        <v>0.2</v>
      </c>
      <c r="AH95" s="20"/>
      <c r="AI95" s="20"/>
      <c r="AJ95" s="20"/>
      <c r="AK95" s="27">
        <f>SUMIF(Table1[[#This Row],[Autumn Week 1]:[Spring Week 12]],"&gt;0",Table1[[#This Row],[Autumn Week 1]:[Spring Week 12]])</f>
        <v>0.2</v>
      </c>
      <c r="AL95" s="27">
        <f>IF(Table1[[#This Row],[Hours]]&gt;0,Table1[[#This Row],[Hours]],Table1[[#This Row],[Nominal Hours]])*COUNTIF(Table1[[#This Row],[Autumn Week 1]:[Spring Week 12]],"&gt;0")</f>
        <v>8</v>
      </c>
    </row>
    <row r="96" spans="1:38">
      <c r="A96" s="3" t="s">
        <v>108</v>
      </c>
      <c r="B96" s="3" t="s">
        <v>362</v>
      </c>
      <c r="C96" s="12" t="s">
        <v>5</v>
      </c>
      <c r="D96" s="29">
        <f>INDEX(Table2[CA weight],MATCH(Table1[[#This Row],[Module Code]],Table2[Module Code],0))</f>
        <v>20</v>
      </c>
      <c r="E96" s="29">
        <f>INDEX(Table2[Credits],MATCH(Table1[[#This Row],[Module Code]],Table2[Module Code],0))</f>
        <v>10</v>
      </c>
      <c r="F96" s="12" t="s">
        <v>363</v>
      </c>
      <c r="G96" s="11" t="s">
        <v>229</v>
      </c>
      <c r="H96" s="11" t="s">
        <v>327</v>
      </c>
      <c r="I96" s="11">
        <v>3</v>
      </c>
      <c r="J96" s="11">
        <f>AVERAGE(Table1[[#This Row],[Autumn Week 1]:[Spring Week 12]])*4*Table1[[#This Row],[Credits]]</f>
        <v>1.6</v>
      </c>
      <c r="K96" s="11"/>
      <c r="L96" s="18"/>
      <c r="M96" s="18"/>
      <c r="N96" s="18"/>
      <c r="O96" s="19"/>
      <c r="P96" s="18"/>
      <c r="Q96" s="18"/>
      <c r="R96" s="18"/>
      <c r="S96" s="19"/>
      <c r="T96" s="18"/>
      <c r="U96" s="18"/>
      <c r="V96" s="18"/>
      <c r="W96" s="19"/>
      <c r="X96" s="20"/>
      <c r="Y96" s="20"/>
      <c r="Z96" s="20"/>
      <c r="AA96" s="20"/>
      <c r="AB96" s="20">
        <v>0.04</v>
      </c>
      <c r="AC96" s="20"/>
      <c r="AD96" s="20"/>
      <c r="AE96" s="20"/>
      <c r="AF96" s="20"/>
      <c r="AG96" s="20"/>
      <c r="AH96" s="20"/>
      <c r="AI96" s="20"/>
      <c r="AJ96" s="20"/>
      <c r="AK96" s="27">
        <f>SUMIF(Table1[[#This Row],[Autumn Week 1]:[Spring Week 12]],"&gt;0",Table1[[#This Row],[Autumn Week 1]:[Spring Week 12]])</f>
        <v>0.04</v>
      </c>
      <c r="AL96" s="27">
        <f>IF(Table1[[#This Row],[Hours]]&gt;0,Table1[[#This Row],[Hours]],Table1[[#This Row],[Nominal Hours]])*COUNTIF(Table1[[#This Row],[Autumn Week 1]:[Spring Week 12]],"&gt;0")</f>
        <v>1.6</v>
      </c>
    </row>
    <row r="97" spans="1:38" ht="28">
      <c r="A97" s="3" t="s">
        <v>108</v>
      </c>
      <c r="B97" s="3" t="s">
        <v>362</v>
      </c>
      <c r="C97" s="12" t="s">
        <v>121</v>
      </c>
      <c r="D97" s="29">
        <f>INDEX(Table2[CA weight],MATCH(Table1[[#This Row],[Module Code]],Table2[Module Code],0))</f>
        <v>20</v>
      </c>
      <c r="E97" s="29">
        <f>INDEX(Table2[Credits],MATCH(Table1[[#This Row],[Module Code]],Table2[Module Code],0))</f>
        <v>10</v>
      </c>
      <c r="F97" s="45" t="s">
        <v>364</v>
      </c>
      <c r="G97" s="11" t="s">
        <v>229</v>
      </c>
      <c r="H97" s="11" t="s">
        <v>327</v>
      </c>
      <c r="I97" s="11">
        <v>6</v>
      </c>
      <c r="J97" s="11">
        <f>AVERAGE(Table1[[#This Row],[Autumn Week 1]:[Spring Week 12]])*4*Table1[[#This Row],[Credits]]</f>
        <v>6.4</v>
      </c>
      <c r="K97" s="11"/>
      <c r="L97" s="18"/>
      <c r="M97" s="18"/>
      <c r="N97" s="18"/>
      <c r="O97" s="19"/>
      <c r="P97" s="18"/>
      <c r="Q97" s="18"/>
      <c r="R97" s="18"/>
      <c r="S97" s="19"/>
      <c r="T97" s="18"/>
      <c r="U97" s="18"/>
      <c r="V97" s="18"/>
      <c r="W97" s="19"/>
      <c r="X97" s="20"/>
      <c r="Y97" s="20"/>
      <c r="Z97" s="20"/>
      <c r="AA97" s="20"/>
      <c r="AB97" s="20"/>
      <c r="AC97" s="20"/>
      <c r="AD97" s="20">
        <v>0.16</v>
      </c>
      <c r="AE97" s="20"/>
      <c r="AF97" s="20"/>
      <c r="AG97" s="20"/>
      <c r="AH97" s="20"/>
      <c r="AI97" s="20"/>
      <c r="AJ97" s="20"/>
      <c r="AK97" s="27">
        <f>SUMIF(Table1[[#This Row],[Autumn Week 1]:[Spring Week 12]],"&gt;0",Table1[[#This Row],[Autumn Week 1]:[Spring Week 12]])</f>
        <v>0.16</v>
      </c>
      <c r="AL97" s="27">
        <f>IF(Table1[[#This Row],[Hours]]&gt;0,Table1[[#This Row],[Hours]],Table1[[#This Row],[Nominal Hours]])*COUNTIF(Table1[[#This Row],[Autumn Week 1]:[Spring Week 12]],"&gt;0")</f>
        <v>6.4</v>
      </c>
    </row>
    <row r="98" spans="1:38">
      <c r="A98" s="3" t="s">
        <v>189</v>
      </c>
      <c r="B98" s="3" t="s">
        <v>98</v>
      </c>
      <c r="C98" s="12" t="s">
        <v>5</v>
      </c>
      <c r="D98" s="29">
        <f>INDEX(Table2[CA weight],MATCH(Table1[[#This Row],[Module Code]],Table2[Module Code],0))</f>
        <v>40</v>
      </c>
      <c r="E98" s="29">
        <f>INDEX(Table2[Credits],MATCH(Table1[[#This Row],[Module Code]],Table2[Module Code],0))</f>
        <v>10</v>
      </c>
      <c r="F98" s="12" t="s">
        <v>206</v>
      </c>
      <c r="G98" s="11" t="s">
        <v>229</v>
      </c>
      <c r="H98" s="11" t="s">
        <v>351</v>
      </c>
      <c r="I98" s="11">
        <v>6</v>
      </c>
      <c r="J98" s="11">
        <f>AVERAGE(Table1[[#This Row],[Autumn Week 1]:[Spring Week 12]])*4*Table1[[#This Row],[Credits]]</f>
        <v>8</v>
      </c>
      <c r="K98" s="11">
        <v>15</v>
      </c>
      <c r="L98" s="18"/>
      <c r="M98" s="18"/>
      <c r="N98" s="18"/>
      <c r="O98" s="19"/>
      <c r="P98" s="18"/>
      <c r="Q98" s="18"/>
      <c r="R98" s="18"/>
      <c r="S98" s="19"/>
      <c r="T98" s="18"/>
      <c r="U98" s="18"/>
      <c r="V98" s="18"/>
      <c r="W98" s="19"/>
      <c r="X98" s="20"/>
      <c r="Y98" s="20"/>
      <c r="Z98" s="20"/>
      <c r="AA98" s="20"/>
      <c r="AB98" s="20"/>
      <c r="AC98" s="20"/>
      <c r="AD98" s="20"/>
      <c r="AE98" s="20"/>
      <c r="AF98" s="20">
        <v>0.2</v>
      </c>
      <c r="AG98" s="20"/>
      <c r="AH98" s="20"/>
      <c r="AI98" s="20"/>
      <c r="AJ98" s="20"/>
      <c r="AK98" s="27">
        <f>SUMIF(Table1[[#This Row],[Autumn Week 1]:[Spring Week 12]],"&gt;0",Table1[[#This Row],[Autumn Week 1]:[Spring Week 12]])</f>
        <v>0.2</v>
      </c>
      <c r="AL98" s="27">
        <f>IF(Table1[[#This Row],[Hours]]&gt;0,Table1[[#This Row],[Hours]],Table1[[#This Row],[Nominal Hours]])*COUNTIF(Table1[[#This Row],[Autumn Week 1]:[Spring Week 12]],"&gt;0")</f>
        <v>15</v>
      </c>
    </row>
    <row r="99" spans="1:38">
      <c r="A99" s="3" t="s">
        <v>189</v>
      </c>
      <c r="B99" s="3" t="s">
        <v>98</v>
      </c>
      <c r="C99" s="12" t="s">
        <v>121</v>
      </c>
      <c r="D99" s="29">
        <f>INDEX(Table2[CA weight],MATCH(Table1[[#This Row],[Module Code]],Table2[Module Code],0))</f>
        <v>40</v>
      </c>
      <c r="E99" s="29">
        <f>INDEX(Table2[Credits],MATCH(Table1[[#This Row],[Module Code]],Table2[Module Code],0))</f>
        <v>10</v>
      </c>
      <c r="F99" s="12" t="s">
        <v>285</v>
      </c>
      <c r="G99" s="11" t="s">
        <v>229</v>
      </c>
      <c r="H99" s="11" t="s">
        <v>305</v>
      </c>
      <c r="I99" s="11">
        <v>2</v>
      </c>
      <c r="J99" s="11">
        <f>AVERAGE(Table1[[#This Row],[Autumn Week 1]:[Spring Week 12]])*4*Table1[[#This Row],[Credits]]</f>
        <v>8</v>
      </c>
      <c r="K99" s="11">
        <v>15</v>
      </c>
      <c r="L99" s="18"/>
      <c r="M99" s="18"/>
      <c r="N99" s="18"/>
      <c r="O99" s="19"/>
      <c r="P99" s="18"/>
      <c r="Q99" s="18"/>
      <c r="R99" s="18"/>
      <c r="S99" s="19"/>
      <c r="T99" s="18"/>
      <c r="U99" s="18"/>
      <c r="V99" s="18"/>
      <c r="W99" s="19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>
        <v>0.2</v>
      </c>
      <c r="AI99" s="20"/>
      <c r="AJ99" s="20"/>
      <c r="AK99" s="27">
        <f>SUMIF(Table1[[#This Row],[Autumn Week 1]:[Spring Week 12]],"&gt;0",Table1[[#This Row],[Autumn Week 1]:[Spring Week 12]])</f>
        <v>0.2</v>
      </c>
      <c r="AL99" s="27">
        <f>IF(Table1[[#This Row],[Hours]]&gt;0,Table1[[#This Row],[Hours]],Table1[[#This Row],[Nominal Hours]])*COUNTIF(Table1[[#This Row],[Autumn Week 1]:[Spring Week 12]],"&gt;0")</f>
        <v>15</v>
      </c>
    </row>
    <row r="100" spans="1:38">
      <c r="A100" s="3" t="s">
        <v>109</v>
      </c>
      <c r="B100" s="3" t="s">
        <v>99</v>
      </c>
      <c r="C100" s="12" t="s">
        <v>5</v>
      </c>
      <c r="D100" s="29">
        <f>INDEX(Table2[CA weight],MATCH(Table1[[#This Row],[Module Code]],Table2[Module Code],0))</f>
        <v>100</v>
      </c>
      <c r="E100" s="29">
        <f>INDEX(Table2[Credits],MATCH(Table1[[#This Row],[Module Code]],Table2[Module Code],0))</f>
        <v>10</v>
      </c>
      <c r="F100" s="12" t="s">
        <v>210</v>
      </c>
      <c r="G100" s="11" t="s">
        <v>229</v>
      </c>
      <c r="H100" s="11" t="s">
        <v>305</v>
      </c>
      <c r="I100" s="11">
        <v>11</v>
      </c>
      <c r="J100" s="11">
        <f>AVERAGE(Table1[[#This Row],[Autumn Week 1]:[Spring Week 12]])*4*Table1[[#This Row],[Credits]]</f>
        <v>28</v>
      </c>
      <c r="K100" s="11">
        <v>30</v>
      </c>
      <c r="L100" s="18"/>
      <c r="M100" s="18"/>
      <c r="N100" s="18"/>
      <c r="O100" s="19"/>
      <c r="P100" s="18"/>
      <c r="Q100" s="18"/>
      <c r="R100" s="18"/>
      <c r="S100" s="19"/>
      <c r="T100" s="18"/>
      <c r="U100" s="18"/>
      <c r="V100" s="18"/>
      <c r="W100" s="19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>
        <v>0.7</v>
      </c>
      <c r="AJ100" s="20"/>
      <c r="AK100" s="27">
        <f>SUMIF(Table1[[#This Row],[Autumn Week 1]:[Spring Week 12]],"&gt;0",Table1[[#This Row],[Autumn Week 1]:[Spring Week 12]])</f>
        <v>0.7</v>
      </c>
      <c r="AL100" s="27">
        <f>IF(Table1[[#This Row],[Hours]]&gt;0,Table1[[#This Row],[Hours]],Table1[[#This Row],[Nominal Hours]])*COUNTIF(Table1[[#This Row],[Autumn Week 1]:[Spring Week 12]],"&gt;0")</f>
        <v>30</v>
      </c>
    </row>
    <row r="101" spans="1:38">
      <c r="A101" s="3" t="s">
        <v>109</v>
      </c>
      <c r="B101" s="3" t="s">
        <v>99</v>
      </c>
      <c r="C101" s="12" t="s">
        <v>121</v>
      </c>
      <c r="D101" s="29">
        <f>INDEX(Table2[CA weight],MATCH(Table1[[#This Row],[Module Code]],Table2[Module Code],0))</f>
        <v>100</v>
      </c>
      <c r="E101" s="29">
        <f>INDEX(Table2[Credits],MATCH(Table1[[#This Row],[Module Code]],Table2[Module Code],0))</f>
        <v>10</v>
      </c>
      <c r="F101" s="12" t="s">
        <v>342</v>
      </c>
      <c r="G101" s="11" t="s">
        <v>229</v>
      </c>
      <c r="H101" s="11" t="s">
        <v>305</v>
      </c>
      <c r="I101" s="11">
        <v>11</v>
      </c>
      <c r="J101" s="11">
        <f>AVERAGE(Table1[[#This Row],[Autumn Week 1]:[Spring Week 12]])*4*Table1[[#This Row],[Credits]]</f>
        <v>8</v>
      </c>
      <c r="K101" s="11">
        <v>15</v>
      </c>
      <c r="L101" s="18"/>
      <c r="M101" s="18"/>
      <c r="N101" s="18"/>
      <c r="O101" s="19"/>
      <c r="P101" s="18"/>
      <c r="Q101" s="18"/>
      <c r="R101" s="18"/>
      <c r="S101" s="19"/>
      <c r="T101" s="18"/>
      <c r="U101" s="18"/>
      <c r="V101" s="18"/>
      <c r="W101" s="19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>
        <v>0.2</v>
      </c>
      <c r="AJ101" s="20"/>
      <c r="AK101" s="27">
        <f>SUMIF(Table1[[#This Row],[Autumn Week 1]:[Spring Week 12]],"&gt;0",Table1[[#This Row],[Autumn Week 1]:[Spring Week 12]])</f>
        <v>0.2</v>
      </c>
      <c r="AL101" s="27">
        <f>IF(Table1[[#This Row],[Hours]]&gt;0,Table1[[#This Row],[Hours]],Table1[[#This Row],[Nominal Hours]])*COUNTIF(Table1[[#This Row],[Autumn Week 1]:[Spring Week 12]],"&gt;0")</f>
        <v>15</v>
      </c>
    </row>
    <row r="102" spans="1:38">
      <c r="A102" s="3" t="s">
        <v>109</v>
      </c>
      <c r="B102" s="3" t="s">
        <v>99</v>
      </c>
      <c r="C102" s="12" t="s">
        <v>5</v>
      </c>
      <c r="D102" s="29">
        <f>INDEX(Table2[CA weight],MATCH(Table1[[#This Row],[Module Code]],Table2[Module Code],0))</f>
        <v>100</v>
      </c>
      <c r="E102" s="29">
        <f>INDEX(Table2[Credits],MATCH(Table1[[#This Row],[Module Code]],Table2[Module Code],0))</f>
        <v>10</v>
      </c>
      <c r="F102" s="12" t="s">
        <v>260</v>
      </c>
      <c r="G102" s="11" t="s">
        <v>229</v>
      </c>
      <c r="H102" s="11" t="s">
        <v>305</v>
      </c>
      <c r="I102" s="11">
        <v>11</v>
      </c>
      <c r="J102" s="11">
        <f>AVERAGE(Table1[[#This Row],[Autumn Week 1]:[Spring Week 12]])*4*Table1[[#This Row],[Credits]]</f>
        <v>4</v>
      </c>
      <c r="K102" s="11">
        <v>10</v>
      </c>
      <c r="L102" s="18"/>
      <c r="M102" s="18"/>
      <c r="N102" s="18"/>
      <c r="O102" s="19"/>
      <c r="P102" s="18"/>
      <c r="Q102" s="18"/>
      <c r="R102" s="18"/>
      <c r="S102" s="19"/>
      <c r="T102" s="18"/>
      <c r="U102" s="18"/>
      <c r="V102" s="18"/>
      <c r="W102" s="19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>
        <v>0.1</v>
      </c>
      <c r="AJ102" s="20"/>
      <c r="AK102" s="27">
        <f>SUMIF(Table1[[#This Row],[Autumn Week 1]:[Spring Week 12]],"&gt;0",Table1[[#This Row],[Autumn Week 1]:[Spring Week 12]])</f>
        <v>0.1</v>
      </c>
      <c r="AL102" s="27">
        <f>IF(Table1[[#This Row],[Hours]]&gt;0,Table1[[#This Row],[Hours]],Table1[[#This Row],[Nominal Hours]])*COUNTIF(Table1[[#This Row],[Autumn Week 1]:[Spring Week 12]],"&gt;0")</f>
        <v>10</v>
      </c>
    </row>
    <row r="103" spans="1:38">
      <c r="A103" s="3" t="s">
        <v>100</v>
      </c>
      <c r="B103" s="3" t="s">
        <v>101</v>
      </c>
      <c r="C103" s="12" t="s">
        <v>5</v>
      </c>
      <c r="D103" s="29">
        <f>INDEX(Table2[CA weight],MATCH(Table1[[#This Row],[Module Code]],Table2[Module Code],0))</f>
        <v>20</v>
      </c>
      <c r="E103" s="29">
        <f>INDEX(Table2[Credits],MATCH(Table1[[#This Row],[Module Code]],Table2[Module Code],0))</f>
        <v>10</v>
      </c>
      <c r="F103" s="12" t="s">
        <v>206</v>
      </c>
      <c r="G103" s="11" t="s">
        <v>229</v>
      </c>
      <c r="H103" s="11" t="s">
        <v>351</v>
      </c>
      <c r="I103" s="11">
        <v>6</v>
      </c>
      <c r="J103" s="11">
        <f>AVERAGE(Table1[[#This Row],[Autumn Week 1]:[Spring Week 12]])*4*Table1[[#This Row],[Credits]]</f>
        <v>8</v>
      </c>
      <c r="K103" s="11"/>
      <c r="L103" s="18"/>
      <c r="M103" s="18"/>
      <c r="N103" s="18"/>
      <c r="O103" s="19"/>
      <c r="P103" s="18"/>
      <c r="Q103" s="18"/>
      <c r="R103" s="18"/>
      <c r="S103" s="19"/>
      <c r="T103" s="18"/>
      <c r="U103" s="18"/>
      <c r="V103" s="18"/>
      <c r="W103" s="19"/>
      <c r="X103" s="20"/>
      <c r="Y103" s="20"/>
      <c r="Z103" s="20"/>
      <c r="AA103" s="20"/>
      <c r="AB103" s="20"/>
      <c r="AC103" s="20"/>
      <c r="AD103" s="20"/>
      <c r="AE103" s="20">
        <v>0.2</v>
      </c>
      <c r="AF103" s="20"/>
      <c r="AG103" s="20"/>
      <c r="AH103" s="20"/>
      <c r="AI103" s="20"/>
      <c r="AJ103" s="20"/>
      <c r="AK103" s="27">
        <f>SUMIF(Table1[[#This Row],[Autumn Week 1]:[Spring Week 12]],"&gt;0",Table1[[#This Row],[Autumn Week 1]:[Spring Week 12]])</f>
        <v>0.2</v>
      </c>
      <c r="AL103" s="27">
        <f>IF(Table1[[#This Row],[Hours]]&gt;0,Table1[[#This Row],[Hours]],Table1[[#This Row],[Nominal Hours]])*COUNTIF(Table1[[#This Row],[Autumn Week 1]:[Spring Week 12]],"&gt;0")</f>
        <v>8</v>
      </c>
    </row>
    <row r="104" spans="1:38">
      <c r="A104" s="3" t="s">
        <v>102</v>
      </c>
      <c r="B104" s="3" t="s">
        <v>103</v>
      </c>
      <c r="C104" s="12" t="s">
        <v>5</v>
      </c>
      <c r="D104" s="29">
        <f>INDEX(Table2[CA weight],MATCH(Table1[[#This Row],[Module Code]],Table2[Module Code],0))</f>
        <v>20</v>
      </c>
      <c r="E104" s="29">
        <f>INDEX(Table2[Credits],MATCH(Table1[[#This Row],[Module Code]],Table2[Module Code],0))</f>
        <v>10</v>
      </c>
      <c r="F104" s="12" t="s">
        <v>206</v>
      </c>
      <c r="G104" s="11" t="s">
        <v>229</v>
      </c>
      <c r="H104" s="11" t="s">
        <v>305</v>
      </c>
      <c r="I104" s="11">
        <v>2</v>
      </c>
      <c r="J104" s="11">
        <f>AVERAGE(Table1[[#This Row],[Autumn Week 1]:[Spring Week 12]])*4*Table1[[#This Row],[Credits]]</f>
        <v>8</v>
      </c>
      <c r="K104" s="11"/>
      <c r="L104" s="18"/>
      <c r="M104" s="18"/>
      <c r="N104" s="18"/>
      <c r="O104" s="19"/>
      <c r="P104" s="18"/>
      <c r="Q104" s="18"/>
      <c r="R104" s="18"/>
      <c r="S104" s="19"/>
      <c r="T104" s="18"/>
      <c r="U104" s="18"/>
      <c r="V104" s="18"/>
      <c r="W104" s="19"/>
      <c r="X104" s="20"/>
      <c r="Y104" s="20"/>
      <c r="Z104" s="20">
        <v>0.2</v>
      </c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7">
        <f>SUMIF(Table1[[#This Row],[Autumn Week 1]:[Spring Week 12]],"&gt;0",Table1[[#This Row],[Autumn Week 1]:[Spring Week 12]])</f>
        <v>0.2</v>
      </c>
      <c r="AL104" s="27">
        <f>IF(Table1[[#This Row],[Hours]]&gt;0,Table1[[#This Row],[Hours]],Table1[[#This Row],[Nominal Hours]])*COUNTIF(Table1[[#This Row],[Autumn Week 1]:[Spring Week 12]],"&gt;0")</f>
        <v>8</v>
      </c>
    </row>
    <row r="105" spans="1:38">
      <c r="A105" s="3" t="s">
        <v>104</v>
      </c>
      <c r="B105" s="3" t="s">
        <v>105</v>
      </c>
      <c r="C105" s="12" t="s">
        <v>121</v>
      </c>
      <c r="D105" s="29">
        <f>INDEX(Table2[CA weight],MATCH(Table1[[#This Row],[Module Code]],Table2[Module Code],0))</f>
        <v>20</v>
      </c>
      <c r="E105" s="29">
        <f>INDEX(Table2[Credits],MATCH(Table1[[#This Row],[Module Code]],Table2[Module Code],0))</f>
        <v>10</v>
      </c>
      <c r="F105" s="12" t="s">
        <v>208</v>
      </c>
      <c r="G105" s="11" t="s">
        <v>229</v>
      </c>
      <c r="H105" s="11" t="s">
        <v>327</v>
      </c>
      <c r="I105" s="11">
        <v>4</v>
      </c>
      <c r="J105" s="11">
        <f>AVERAGE(Table1[[#This Row],[Autumn Week 1]:[Spring Week 12]])*4*Table1[[#This Row],[Credits]]</f>
        <v>8</v>
      </c>
      <c r="K105" s="11">
        <v>15</v>
      </c>
      <c r="L105" s="18"/>
      <c r="M105" s="18"/>
      <c r="N105" s="18"/>
      <c r="O105" s="19"/>
      <c r="P105" s="18"/>
      <c r="Q105" s="18"/>
      <c r="R105" s="18"/>
      <c r="S105" s="19"/>
      <c r="T105" s="18"/>
      <c r="U105" s="18"/>
      <c r="V105" s="18"/>
      <c r="W105" s="19"/>
      <c r="X105" s="20"/>
      <c r="Y105" s="20"/>
      <c r="Z105" s="20"/>
      <c r="AA105" s="20"/>
      <c r="AB105" s="20">
        <v>0.2</v>
      </c>
      <c r="AC105" s="20"/>
      <c r="AD105" s="20"/>
      <c r="AE105" s="20"/>
      <c r="AF105" s="20"/>
      <c r="AG105" s="20"/>
      <c r="AH105" s="20"/>
      <c r="AI105" s="20"/>
      <c r="AJ105" s="20"/>
      <c r="AK105" s="27">
        <f>SUMIF(Table1[[#This Row],[Autumn Week 1]:[Spring Week 12]],"&gt;0",Table1[[#This Row],[Autumn Week 1]:[Spring Week 12]])</f>
        <v>0.2</v>
      </c>
      <c r="AL105" s="27">
        <f>IF(Table1[[#This Row],[Hours]]&gt;0,Table1[[#This Row],[Hours]],Table1[[#This Row],[Nominal Hours]])*COUNTIF(Table1[[#This Row],[Autumn Week 1]:[Spring Week 12]],"&gt;0")</f>
        <v>15</v>
      </c>
    </row>
    <row r="106" spans="1:38">
      <c r="A106" s="3" t="s">
        <v>47</v>
      </c>
      <c r="B106" s="2" t="s">
        <v>23</v>
      </c>
      <c r="C106" s="12" t="s">
        <v>123</v>
      </c>
      <c r="D106" s="29">
        <f>INDEX(Table2[CA weight],MATCH(Table1[[#This Row],[Module Code]],Table2[Module Code],0))</f>
        <v>100</v>
      </c>
      <c r="E106" s="29">
        <f>INDEX(Table2[Credits],MATCH(Table1[[#This Row],[Module Code]],Table2[Module Code],0))</f>
        <v>30</v>
      </c>
      <c r="F106" s="12" t="s">
        <v>230</v>
      </c>
      <c r="G106" s="11" t="s">
        <v>344</v>
      </c>
      <c r="H106" s="11" t="s">
        <v>366</v>
      </c>
      <c r="I106" s="11">
        <v>1</v>
      </c>
      <c r="J106" s="11">
        <f>AVERAGE(Table1[[#This Row],[Autumn Week 1]:[Spring Week 12]])*4*Table1[[#This Row],[Credits]]</f>
        <v>4.9999999999999982</v>
      </c>
      <c r="K106" s="11">
        <v>10</v>
      </c>
      <c r="L106" s="18">
        <f>1/24</f>
        <v>4.1666666666666664E-2</v>
      </c>
      <c r="M106" s="18">
        <v>4.1666666666666664E-2</v>
      </c>
      <c r="N106" s="18">
        <v>4.1666666666666664E-2</v>
      </c>
      <c r="O106" s="18">
        <v>4.1666666666666664E-2</v>
      </c>
      <c r="P106" s="18">
        <v>4.1666666666666664E-2</v>
      </c>
      <c r="Q106" s="18">
        <v>4.1666666666666664E-2</v>
      </c>
      <c r="R106" s="18">
        <v>4.1666666666666664E-2</v>
      </c>
      <c r="S106" s="18">
        <v>4.1666666666666664E-2</v>
      </c>
      <c r="T106" s="18">
        <v>4.1666666666666664E-2</v>
      </c>
      <c r="U106" s="18">
        <v>4.1666666666666664E-2</v>
      </c>
      <c r="V106" s="18">
        <v>4.1666666666666664E-2</v>
      </c>
      <c r="W106" s="19">
        <v>4.1666666666666664E-2</v>
      </c>
      <c r="X106" s="20">
        <v>4.1666666666666664E-2</v>
      </c>
      <c r="Y106" s="20">
        <v>4.1666666666666664E-2</v>
      </c>
      <c r="Z106" s="20">
        <v>4.1666666666666664E-2</v>
      </c>
      <c r="AA106" s="20">
        <v>4.1666666666666664E-2</v>
      </c>
      <c r="AB106" s="20">
        <v>4.1666666666666664E-2</v>
      </c>
      <c r="AC106" s="20">
        <v>4.1666666666666664E-2</v>
      </c>
      <c r="AD106" s="20">
        <v>4.1666666666666664E-2</v>
      </c>
      <c r="AE106" s="20">
        <v>4.1666666666666664E-2</v>
      </c>
      <c r="AF106" s="20">
        <v>4.1666666666666664E-2</v>
      </c>
      <c r="AG106" s="20">
        <v>4.1666666666666664E-2</v>
      </c>
      <c r="AH106" s="20">
        <v>4.1666666666666664E-2</v>
      </c>
      <c r="AI106" s="20">
        <v>4.1666666666666664E-2</v>
      </c>
      <c r="AJ106" s="20"/>
      <c r="AK106" s="27">
        <f>SUMIF(Table1[[#This Row],[Autumn Week 1]:[Spring Week 12]],"&gt;0",Table1[[#This Row],[Autumn Week 1]:[Spring Week 12]])</f>
        <v>0.99999999999999956</v>
      </c>
      <c r="AL106" s="27">
        <f>IF(Table1[[#This Row],[Hours]]&gt;0,Table1[[#This Row],[Hours]],Table1[[#This Row],[Nominal Hours]])*COUNTIF(Table1[[#This Row],[Autumn Week 1]:[Spring Week 12]],"&gt;0")</f>
        <v>240</v>
      </c>
    </row>
    <row r="107" spans="1:38">
      <c r="A107" s="9" t="s">
        <v>47</v>
      </c>
      <c r="B107" s="2" t="s">
        <v>23</v>
      </c>
      <c r="C107" s="12" t="s">
        <v>122</v>
      </c>
      <c r="D107" s="30">
        <f>INDEX(Table2[CA weight],MATCH(Table1[[#This Row],[Module Code]],Table2[Module Code],0))</f>
        <v>100</v>
      </c>
      <c r="E107" s="30">
        <f>INDEX(Table2[Credits],MATCH(Table1[[#This Row],[Module Code]],Table2[Module Code],0))</f>
        <v>30</v>
      </c>
      <c r="F107" s="12" t="s">
        <v>338</v>
      </c>
      <c r="G107" s="11" t="s">
        <v>220</v>
      </c>
      <c r="H107" s="11" t="s">
        <v>305</v>
      </c>
      <c r="I107" s="11">
        <v>1</v>
      </c>
      <c r="J107" s="11">
        <f>AVERAGE(Table1[[#This Row],[Autumn Week 1]:[Spring Week 12]])*4*Table1[[#This Row],[Credits]]</f>
        <v>8</v>
      </c>
      <c r="K107" s="11">
        <v>0.1</v>
      </c>
      <c r="L107" s="18"/>
      <c r="M107" s="18"/>
      <c r="N107" s="18"/>
      <c r="O107" s="19"/>
      <c r="P107" s="18"/>
      <c r="Q107" s="18">
        <v>0.05</v>
      </c>
      <c r="R107" s="18"/>
      <c r="S107" s="19"/>
      <c r="T107" s="18"/>
      <c r="U107" s="18"/>
      <c r="V107" s="18">
        <v>0.05</v>
      </c>
      <c r="W107" s="19"/>
      <c r="X107" s="20"/>
      <c r="Y107" s="20"/>
      <c r="Z107" s="20"/>
      <c r="AA107" s="20"/>
      <c r="AB107" s="20"/>
      <c r="AC107" s="20">
        <v>0.1</v>
      </c>
      <c r="AD107" s="20"/>
      <c r="AE107" s="20"/>
      <c r="AF107" s="20"/>
      <c r="AG107" s="20"/>
      <c r="AH107" s="20"/>
      <c r="AI107" s="20"/>
      <c r="AJ107" s="20"/>
      <c r="AK107" s="27">
        <f>SUMIF(Table1[[#This Row],[Autumn Week 1]:[Spring Week 12]],"&gt;0",Table1[[#This Row],[Autumn Week 1]:[Spring Week 12]])</f>
        <v>0.2</v>
      </c>
      <c r="AL107" s="27">
        <f>IF(Table1[[#This Row],[Hours]]&gt;0,Table1[[#This Row],[Hours]],Table1[[#This Row],[Nominal Hours]])*COUNTIF(Table1[[#This Row],[Autumn Week 1]:[Spring Week 12]],"&gt;0")</f>
        <v>0.30000000000000004</v>
      </c>
    </row>
    <row r="108" spans="1:38">
      <c r="A108" s="9" t="s">
        <v>47</v>
      </c>
      <c r="B108" s="2" t="s">
        <v>23</v>
      </c>
      <c r="C108" s="13" t="s">
        <v>122</v>
      </c>
      <c r="D108" s="29">
        <f>INDEX(Table2[CA weight],MATCH(Table1[[#This Row],[Module Code]],Table2[Module Code],0))</f>
        <v>100</v>
      </c>
      <c r="E108" s="29">
        <f>INDEX(Table2[Credits],MATCH(Table1[[#This Row],[Module Code]],Table2[Module Code],0))</f>
        <v>30</v>
      </c>
      <c r="F108" s="13" t="s">
        <v>365</v>
      </c>
      <c r="G108" s="11" t="s">
        <v>229</v>
      </c>
      <c r="H108" s="11" t="s">
        <v>305</v>
      </c>
      <c r="I108" s="13">
        <v>1</v>
      </c>
      <c r="J108" s="11">
        <f>AVERAGE(Table1[[#This Row],[Autumn Week 1]:[Spring Week 12]])*4*Table1[[#This Row],[Credits]]</f>
        <v>48</v>
      </c>
      <c r="K108" s="13">
        <v>0.1</v>
      </c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>
        <v>0.4</v>
      </c>
      <c r="AI108" s="20"/>
      <c r="AJ108" s="20"/>
      <c r="AK108" s="27">
        <f>SUMIF(Table1[[#This Row],[Autumn Week 1]:[Spring Week 12]],"&gt;0",Table1[[#This Row],[Autumn Week 1]:[Spring Week 12]])</f>
        <v>0.4</v>
      </c>
      <c r="AL108" s="27">
        <f>IF(Table1[[#This Row],[Hours]]&gt;0,Table1[[#This Row],[Hours]],Table1[[#This Row],[Nominal Hours]])*COUNTIF(Table1[[#This Row],[Autumn Week 1]:[Spring Week 12]],"&gt;0")</f>
        <v>0.1</v>
      </c>
    </row>
    <row r="109" spans="1:38">
      <c r="A109" s="9" t="s">
        <v>47</v>
      </c>
      <c r="B109" s="2" t="s">
        <v>23</v>
      </c>
      <c r="C109" s="11" t="s">
        <v>123</v>
      </c>
      <c r="D109" s="29">
        <f>INDEX(Table2[CA weight],MATCH(Table1[[#This Row],[Module Code]],Table2[Module Code],0))</f>
        <v>100</v>
      </c>
      <c r="E109" s="29">
        <f>INDEX(Table2[Credits],MATCH(Table1[[#This Row],[Module Code]],Table2[Module Code],0))</f>
        <v>30</v>
      </c>
      <c r="F109" s="11" t="s">
        <v>341</v>
      </c>
      <c r="G109" s="11" t="s">
        <v>220</v>
      </c>
      <c r="H109" s="11" t="s">
        <v>305</v>
      </c>
      <c r="I109" s="11">
        <v>11</v>
      </c>
      <c r="J109" s="11">
        <f>AVERAGE(Table1[[#This Row],[Autumn Week 1]:[Spring Week 12]])*4*Table1[[#This Row],[Credits]]</f>
        <v>24</v>
      </c>
      <c r="K109" s="11">
        <v>10</v>
      </c>
      <c r="L109" s="18"/>
      <c r="M109" s="18"/>
      <c r="N109" s="18"/>
      <c r="O109" s="19"/>
      <c r="P109" s="18"/>
      <c r="Q109" s="18"/>
      <c r="R109" s="18"/>
      <c r="S109" s="19"/>
      <c r="T109" s="18"/>
      <c r="U109" s="18"/>
      <c r="V109" s="18">
        <v>0.2</v>
      </c>
      <c r="W109" s="19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7">
        <f>SUMIF(Table1[[#This Row],[Autumn Week 1]:[Spring Week 12]],"&gt;0",Table1[[#This Row],[Autumn Week 1]:[Spring Week 12]])</f>
        <v>0.2</v>
      </c>
      <c r="AL109" s="27">
        <f>IF(Table1[[#This Row],[Hours]]&gt;0,Table1[[#This Row],[Hours]],Table1[[#This Row],[Nominal Hours]])*COUNTIF(Table1[[#This Row],[Autumn Week 1]:[Spring Week 12]],"&gt;0")</f>
        <v>10</v>
      </c>
    </row>
    <row r="110" spans="1:38">
      <c r="A110" s="9" t="s">
        <v>47</v>
      </c>
      <c r="B110" s="2" t="s">
        <v>23</v>
      </c>
      <c r="C110" s="11" t="s">
        <v>123</v>
      </c>
      <c r="D110" s="29">
        <f>INDEX(Table2[CA weight],MATCH(Table1[[#This Row],[Module Code]],Table2[Module Code],0))</f>
        <v>100</v>
      </c>
      <c r="E110" s="29">
        <f>INDEX(Table2[Credits],MATCH(Table1[[#This Row],[Module Code]],Table2[Module Code],0))</f>
        <v>30</v>
      </c>
      <c r="F110" s="11" t="s">
        <v>349</v>
      </c>
      <c r="G110" s="11" t="s">
        <v>229</v>
      </c>
      <c r="H110" s="11" t="s">
        <v>305</v>
      </c>
      <c r="I110" s="11">
        <v>11</v>
      </c>
      <c r="J110" s="11">
        <f>AVERAGE(Table1[[#This Row],[Autumn Week 1]:[Spring Week 12]])*4*Table1[[#This Row],[Credits]]</f>
        <v>48</v>
      </c>
      <c r="K110" s="11">
        <v>10</v>
      </c>
      <c r="L110" s="18"/>
      <c r="M110" s="18"/>
      <c r="N110" s="18"/>
      <c r="O110" s="19"/>
      <c r="P110" s="18"/>
      <c r="Q110" s="18"/>
      <c r="R110" s="18"/>
      <c r="S110" s="19"/>
      <c r="T110" s="18"/>
      <c r="U110" s="18"/>
      <c r="V110" s="18"/>
      <c r="W110" s="19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>
        <v>0.4</v>
      </c>
      <c r="AI110" s="20"/>
      <c r="AJ110" s="20"/>
      <c r="AK110" s="27">
        <f>SUMIF(Table1[[#This Row],[Autumn Week 1]:[Spring Week 12]],"&gt;0",Table1[[#This Row],[Autumn Week 1]:[Spring Week 12]])</f>
        <v>0.4</v>
      </c>
      <c r="AL110" s="27">
        <f>IF(Table1[[#This Row],[Hours]]&gt;0,Table1[[#This Row],[Hours]],Table1[[#This Row],[Nominal Hours]])*COUNTIF(Table1[[#This Row],[Autumn Week 1]:[Spring Week 12]],"&gt;0")</f>
        <v>10</v>
      </c>
    </row>
    <row r="111" spans="1:38">
      <c r="A111" s="9" t="s">
        <v>47</v>
      </c>
      <c r="B111" s="2" t="s">
        <v>23</v>
      </c>
      <c r="C111" s="11" t="s">
        <v>121</v>
      </c>
      <c r="D111" s="29">
        <f>INDEX(Table2[CA weight],MATCH(Table1[[#This Row],[Module Code]],Table2[Module Code],0))</f>
        <v>100</v>
      </c>
      <c r="E111" s="29">
        <f>INDEX(Table2[Credits],MATCH(Table1[[#This Row],[Module Code]],Table2[Module Code],0))</f>
        <v>30</v>
      </c>
      <c r="F111" s="11" t="s">
        <v>208</v>
      </c>
      <c r="G111" s="11" t="s">
        <v>229</v>
      </c>
      <c r="H111" s="11" t="s">
        <v>315</v>
      </c>
      <c r="I111" s="11">
        <v>6</v>
      </c>
      <c r="J111" s="11">
        <f>AVERAGE(Table1[[#This Row],[Autumn Week 1]:[Spring Week 12]])*4*Table1[[#This Row],[Credits]]</f>
        <v>24</v>
      </c>
      <c r="K111" s="11">
        <v>15</v>
      </c>
      <c r="L111" s="18"/>
      <c r="M111" s="18"/>
      <c r="N111" s="18"/>
      <c r="O111" s="19"/>
      <c r="P111" s="18"/>
      <c r="Q111" s="18"/>
      <c r="R111" s="18"/>
      <c r="S111" s="19"/>
      <c r="T111" s="18"/>
      <c r="U111" s="18"/>
      <c r="V111" s="18"/>
      <c r="W111" s="19"/>
      <c r="X111" s="20"/>
      <c r="Y111" s="20"/>
      <c r="Z111" s="20"/>
      <c r="AA111" s="20"/>
      <c r="AB111" s="20"/>
      <c r="AC111" s="20"/>
      <c r="AD111" s="20"/>
      <c r="AE111" s="20"/>
      <c r="AF111" s="20"/>
      <c r="AG111" s="20">
        <v>0.2</v>
      </c>
      <c r="AH111" s="20"/>
      <c r="AI111" s="20"/>
      <c r="AJ111" s="20"/>
      <c r="AK111" s="27">
        <f>SUMIF(Table1[[#This Row],[Autumn Week 1]:[Spring Week 12]],"&gt;0",Table1[[#This Row],[Autumn Week 1]:[Spring Week 12]])</f>
        <v>0.2</v>
      </c>
      <c r="AL111" s="27">
        <f>IF(Table1[[#This Row],[Hours]]&gt;0,Table1[[#This Row],[Hours]],Table1[[#This Row],[Nominal Hours]])*COUNTIF(Table1[[#This Row],[Autumn Week 1]:[Spring Week 12]],"&gt;0")</f>
        <v>15</v>
      </c>
    </row>
    <row r="112" spans="1:38" ht="28">
      <c r="A112" s="4" t="s">
        <v>61</v>
      </c>
      <c r="B112" s="2" t="s">
        <v>62</v>
      </c>
      <c r="C112" s="11" t="s">
        <v>125</v>
      </c>
      <c r="D112" s="29">
        <f>INDEX(Table2[CA weight],MATCH(Table1[[#This Row],[Module Code]],Table2[Module Code],0))</f>
        <v>30</v>
      </c>
      <c r="E112" s="29">
        <f>INDEX(Table2[Credits],MATCH(Table1[[#This Row],[Module Code]],Table2[Module Code],0))</f>
        <v>10</v>
      </c>
      <c r="F112" s="37" t="s">
        <v>286</v>
      </c>
      <c r="G112" s="11" t="s">
        <v>229</v>
      </c>
      <c r="H112" s="11" t="s">
        <v>305</v>
      </c>
      <c r="I112" s="11">
        <v>4</v>
      </c>
      <c r="J112" s="11">
        <f>AVERAGE(Table1[[#This Row],[Autumn Week 1]:[Spring Week 12]])*4*Table1[[#This Row],[Credits]]</f>
        <v>0.39999999999999991</v>
      </c>
      <c r="K112" s="11">
        <v>0.5</v>
      </c>
      <c r="L112" s="18"/>
      <c r="M112" s="18">
        <f t="shared" ref="M112:V112" si="2">0.1/10</f>
        <v>0.01</v>
      </c>
      <c r="N112" s="18">
        <f t="shared" si="2"/>
        <v>0.01</v>
      </c>
      <c r="O112" s="18">
        <f t="shared" si="2"/>
        <v>0.01</v>
      </c>
      <c r="P112" s="18">
        <f t="shared" si="2"/>
        <v>0.01</v>
      </c>
      <c r="Q112" s="18">
        <f t="shared" si="2"/>
        <v>0.01</v>
      </c>
      <c r="R112" s="18">
        <f t="shared" si="2"/>
        <v>0.01</v>
      </c>
      <c r="S112" s="18">
        <f t="shared" si="2"/>
        <v>0.01</v>
      </c>
      <c r="T112" s="18">
        <f t="shared" si="2"/>
        <v>0.01</v>
      </c>
      <c r="U112" s="18">
        <f t="shared" si="2"/>
        <v>0.01</v>
      </c>
      <c r="V112" s="18">
        <f t="shared" si="2"/>
        <v>0.01</v>
      </c>
      <c r="W112" s="19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7">
        <f>SUMIF(Table1[[#This Row],[Autumn Week 1]:[Spring Week 12]],"&gt;0",Table1[[#This Row],[Autumn Week 1]:[Spring Week 12]])</f>
        <v>9.9999999999999992E-2</v>
      </c>
      <c r="AL112" s="27">
        <f>IF(Table1[[#This Row],[Hours]]&gt;0,Table1[[#This Row],[Hours]],Table1[[#This Row],[Nominal Hours]])*COUNTIF(Table1[[#This Row],[Autumn Week 1]:[Spring Week 12]],"&gt;0")</f>
        <v>5</v>
      </c>
    </row>
    <row r="113" spans="1:38">
      <c r="A113" s="4" t="s">
        <v>61</v>
      </c>
      <c r="B113" s="2" t="s">
        <v>62</v>
      </c>
      <c r="C113" s="11" t="s">
        <v>5</v>
      </c>
      <c r="D113" s="29">
        <f>INDEX(Table2[CA weight],MATCH(Table1[[#This Row],[Module Code]],Table2[Module Code],0))</f>
        <v>30</v>
      </c>
      <c r="E113" s="29">
        <f>INDEX(Table2[Credits],MATCH(Table1[[#This Row],[Module Code]],Table2[Module Code],0))</f>
        <v>10</v>
      </c>
      <c r="F113" s="11" t="s">
        <v>206</v>
      </c>
      <c r="G113" s="11" t="s">
        <v>229</v>
      </c>
      <c r="H113" s="11" t="s">
        <v>305</v>
      </c>
      <c r="I113" s="11">
        <v>4</v>
      </c>
      <c r="J113" s="11">
        <f>AVERAGE(Table1[[#This Row],[Autumn Week 1]:[Spring Week 12]])*4*Table1[[#This Row],[Credits]]</f>
        <v>0</v>
      </c>
      <c r="K113" s="11"/>
      <c r="L113" s="18"/>
      <c r="M113" s="18"/>
      <c r="N113" s="18"/>
      <c r="O113" s="19"/>
      <c r="P113" s="18"/>
      <c r="Q113" s="18"/>
      <c r="R113" s="18">
        <v>-0.2</v>
      </c>
      <c r="S113" s="19">
        <v>0.2</v>
      </c>
      <c r="T113" s="18"/>
      <c r="U113" s="18"/>
      <c r="V113" s="18"/>
      <c r="W113" s="19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7">
        <f>SUMIF(Table1[[#This Row],[Autumn Week 1]:[Spring Week 12]],"&gt;0",Table1[[#This Row],[Autumn Week 1]:[Spring Week 12]])</f>
        <v>0.2</v>
      </c>
      <c r="AL113" s="27">
        <f>IF(Table1[[#This Row],[Hours]]&gt;0,Table1[[#This Row],[Hours]],Table1[[#This Row],[Nominal Hours]])*COUNTIF(Table1[[#This Row],[Autumn Week 1]:[Spring Week 12]],"&gt;0")</f>
        <v>0</v>
      </c>
    </row>
    <row r="114" spans="1:38">
      <c r="A114" s="4" t="s">
        <v>238</v>
      </c>
      <c r="B114" s="2" t="s">
        <v>237</v>
      </c>
      <c r="C114" s="11" t="s">
        <v>5</v>
      </c>
      <c r="D114" s="29">
        <f>INDEX(Table2[CA weight],MATCH(Table1[[#This Row],[Module Code]],Table2[Module Code],0))</f>
        <v>30</v>
      </c>
      <c r="E114" s="29">
        <f>INDEX(Table2[Credits],MATCH(Table1[[#This Row],[Module Code]],Table2[Module Code],0))</f>
        <v>10</v>
      </c>
      <c r="F114" s="11" t="s">
        <v>206</v>
      </c>
      <c r="G114" s="11" t="s">
        <v>229</v>
      </c>
      <c r="H114" s="11" t="s">
        <v>305</v>
      </c>
      <c r="I114" s="11">
        <v>3</v>
      </c>
      <c r="J114" s="11">
        <f>AVERAGE(Table1[[#This Row],[Autumn Week 1]:[Spring Week 12]])*4*Table1[[#This Row],[Credits]]</f>
        <v>6</v>
      </c>
      <c r="K114" s="11"/>
      <c r="L114" s="18"/>
      <c r="M114" s="18"/>
      <c r="N114" s="18"/>
      <c r="O114" s="19"/>
      <c r="P114" s="18"/>
      <c r="Q114" s="18"/>
      <c r="R114" s="18"/>
      <c r="S114" s="19"/>
      <c r="T114" s="18">
        <v>0.15</v>
      </c>
      <c r="U114" s="18"/>
      <c r="V114" s="18"/>
      <c r="W114" s="19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7">
        <f>SUMIF(Table1[[#This Row],[Autumn Week 1]:[Spring Week 12]],"&gt;0",Table1[[#This Row],[Autumn Week 1]:[Spring Week 12]])</f>
        <v>0.15</v>
      </c>
      <c r="AL114" s="27">
        <f>IF(Table1[[#This Row],[Hours]]&gt;0,Table1[[#This Row],[Hours]],Table1[[#This Row],[Nominal Hours]])*COUNTIF(Table1[[#This Row],[Autumn Week 1]:[Spring Week 12]],"&gt;0")</f>
        <v>6</v>
      </c>
    </row>
    <row r="115" spans="1:38">
      <c r="A115" s="4" t="s">
        <v>238</v>
      </c>
      <c r="B115" s="2" t="s">
        <v>237</v>
      </c>
      <c r="C115" s="11" t="s">
        <v>121</v>
      </c>
      <c r="D115" s="29">
        <f>INDEX(Table2[CA weight],MATCH(Table1[[#This Row],[Module Code]],Table2[Module Code],0))</f>
        <v>30</v>
      </c>
      <c r="E115" s="29">
        <f>INDEX(Table2[Credits],MATCH(Table1[[#This Row],[Module Code]],Table2[Module Code],0))</f>
        <v>10</v>
      </c>
      <c r="F115" s="11" t="s">
        <v>367</v>
      </c>
      <c r="G115" s="11" t="s">
        <v>229</v>
      </c>
      <c r="H115" s="11" t="s">
        <v>327</v>
      </c>
      <c r="I115" s="11">
        <v>3</v>
      </c>
      <c r="J115" s="11">
        <f>AVERAGE(Table1[[#This Row],[Autumn Week 1]:[Spring Week 12]])*4*Table1[[#This Row],[Credits]]</f>
        <v>6</v>
      </c>
      <c r="K115" s="11"/>
      <c r="L115" s="18"/>
      <c r="M115" s="18"/>
      <c r="N115" s="18"/>
      <c r="O115" s="19"/>
      <c r="P115" s="18"/>
      <c r="Q115" s="18"/>
      <c r="R115" s="18">
        <v>0.15</v>
      </c>
      <c r="S115" s="19"/>
      <c r="T115" s="18"/>
      <c r="U115" s="18"/>
      <c r="V115" s="18"/>
      <c r="W115" s="19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7">
        <f>SUMIF(Table1[[#This Row],[Autumn Week 1]:[Spring Week 12]],"&gt;0",Table1[[#This Row],[Autumn Week 1]:[Spring Week 12]])</f>
        <v>0.15</v>
      </c>
      <c r="AL115" s="27">
        <f>IF(Table1[[#This Row],[Hours]]&gt;0,Table1[[#This Row],[Hours]],Table1[[#This Row],[Nominal Hours]])*COUNTIF(Table1[[#This Row],[Autumn Week 1]:[Spring Week 12]],"&gt;0")</f>
        <v>6</v>
      </c>
    </row>
    <row r="116" spans="1:38">
      <c r="A116" s="4" t="s">
        <v>63</v>
      </c>
      <c r="B116" s="2" t="s">
        <v>296</v>
      </c>
      <c r="C116" s="11" t="s">
        <v>121</v>
      </c>
      <c r="D116" s="29">
        <f>INDEX(Table2[CA weight],MATCH(Table1[[#This Row],[Module Code]],Table2[Module Code],0))</f>
        <v>25</v>
      </c>
      <c r="E116" s="29">
        <f>INDEX(Table2[Credits],MATCH(Table1[[#This Row],[Module Code]],Table2[Module Code],0))</f>
        <v>10</v>
      </c>
      <c r="F116" s="11" t="s">
        <v>342</v>
      </c>
      <c r="G116" s="11" t="s">
        <v>229</v>
      </c>
      <c r="H116" s="11" t="s">
        <v>315</v>
      </c>
      <c r="I116" s="11">
        <v>2</v>
      </c>
      <c r="J116" s="11">
        <f>AVERAGE(Table1[[#This Row],[Autumn Week 1]:[Spring Week 12]])*4*Table1[[#This Row],[Credits]]</f>
        <v>10</v>
      </c>
      <c r="K116" s="11">
        <v>15</v>
      </c>
      <c r="L116" s="18"/>
      <c r="M116" s="18"/>
      <c r="N116" s="18"/>
      <c r="O116" s="19"/>
      <c r="P116" s="18"/>
      <c r="Q116" s="18"/>
      <c r="R116" s="18"/>
      <c r="S116" s="19"/>
      <c r="T116" s="18">
        <v>0.25</v>
      </c>
      <c r="U116" s="18"/>
      <c r="V116" s="18"/>
      <c r="W116" s="19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7">
        <f>SUMIF(Table1[[#This Row],[Autumn Week 1]:[Spring Week 12]],"&gt;0",Table1[[#This Row],[Autumn Week 1]:[Spring Week 12]])</f>
        <v>0.25</v>
      </c>
      <c r="AL116" s="27">
        <f>IF(Table1[[#This Row],[Hours]]&gt;0,Table1[[#This Row],[Hours]],Table1[[#This Row],[Nominal Hours]])*COUNTIF(Table1[[#This Row],[Autumn Week 1]:[Spring Week 12]],"&gt;0")</f>
        <v>15</v>
      </c>
    </row>
    <row r="117" spans="1:38" ht="28">
      <c r="A117" s="4" t="s">
        <v>66</v>
      </c>
      <c r="B117" s="2" t="s">
        <v>67</v>
      </c>
      <c r="C117" s="11" t="s">
        <v>125</v>
      </c>
      <c r="D117" s="29">
        <f>INDEX(Table2[CA weight],MATCH(Table1[[#This Row],[Module Code]],Table2[Module Code],0))</f>
        <v>30</v>
      </c>
      <c r="E117" s="29">
        <f>INDEX(Table2[Credits],MATCH(Table1[[#This Row],[Module Code]],Table2[Module Code],0))</f>
        <v>10</v>
      </c>
      <c r="F117" s="37" t="s">
        <v>287</v>
      </c>
      <c r="G117" s="11" t="s">
        <v>229</v>
      </c>
      <c r="H117" s="11" t="s">
        <v>305</v>
      </c>
      <c r="I117" s="11">
        <v>1</v>
      </c>
      <c r="J117" s="11">
        <f>AVERAGE(Table1[[#This Row],[Autumn Week 1]:[Spring Week 12]])*4*Table1[[#This Row],[Credits]]</f>
        <v>0.4</v>
      </c>
      <c r="K117" s="11">
        <v>2</v>
      </c>
      <c r="L117" s="18"/>
      <c r="M117" s="18">
        <v>0.01</v>
      </c>
      <c r="N117" s="18">
        <v>0.01</v>
      </c>
      <c r="O117" s="18">
        <v>0.01</v>
      </c>
      <c r="P117" s="18">
        <v>0.01</v>
      </c>
      <c r="Q117" s="18"/>
      <c r="R117" s="18">
        <v>0.01</v>
      </c>
      <c r="S117" s="18">
        <v>0.01</v>
      </c>
      <c r="T117" s="18">
        <v>0.01</v>
      </c>
      <c r="U117" s="18"/>
      <c r="V117" s="18">
        <v>0.01</v>
      </c>
      <c r="W117" s="19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7">
        <f>SUMIF(Table1[[#This Row],[Autumn Week 1]:[Spring Week 12]],"&gt;0",Table1[[#This Row],[Autumn Week 1]:[Spring Week 12]])</f>
        <v>0.08</v>
      </c>
      <c r="AL117" s="27">
        <f>IF(Table1[[#This Row],[Hours]]&gt;0,Table1[[#This Row],[Hours]],Table1[[#This Row],[Nominal Hours]])*COUNTIF(Table1[[#This Row],[Autumn Week 1]:[Spring Week 12]],"&gt;0")</f>
        <v>16</v>
      </c>
    </row>
    <row r="118" spans="1:38">
      <c r="A118" s="4" t="s">
        <v>66</v>
      </c>
      <c r="B118" s="2" t="s">
        <v>67</v>
      </c>
      <c r="C118" s="11" t="s">
        <v>5</v>
      </c>
      <c r="D118" s="29">
        <f>INDEX(Table2[CA weight],MATCH(Table1[[#This Row],[Module Code]],Table2[Module Code],0))</f>
        <v>30</v>
      </c>
      <c r="E118" s="29">
        <f>INDEX(Table2[Credits],MATCH(Table1[[#This Row],[Module Code]],Table2[Module Code],0))</f>
        <v>10</v>
      </c>
      <c r="F118" s="11" t="s">
        <v>206</v>
      </c>
      <c r="G118" s="11" t="s">
        <v>229</v>
      </c>
      <c r="H118" s="11" t="s">
        <v>305</v>
      </c>
      <c r="I118" s="11">
        <v>6</v>
      </c>
      <c r="J118" s="11">
        <f>AVERAGE(Table1[[#This Row],[Autumn Week 1]:[Spring Week 12]])*4*Table1[[#This Row],[Credits]]</f>
        <v>4.4000000000000004</v>
      </c>
      <c r="K118" s="11"/>
      <c r="L118" s="18"/>
      <c r="M118" s="18"/>
      <c r="N118" s="18"/>
      <c r="O118" s="19"/>
      <c r="P118" s="18"/>
      <c r="Q118" s="19">
        <v>0.12</v>
      </c>
      <c r="R118" s="18"/>
      <c r="S118" s="19"/>
      <c r="T118" s="18"/>
      <c r="U118" s="19">
        <v>0.1</v>
      </c>
      <c r="V118" s="18"/>
      <c r="W118" s="19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7">
        <f>SUMIF(Table1[[#This Row],[Autumn Week 1]:[Spring Week 12]],"&gt;0",Table1[[#This Row],[Autumn Week 1]:[Spring Week 12]])</f>
        <v>0.22</v>
      </c>
      <c r="AL118" s="27">
        <f>IF(Table1[[#This Row],[Hours]]&gt;0,Table1[[#This Row],[Hours]],Table1[[#This Row],[Nominal Hours]])*COUNTIF(Table1[[#This Row],[Autumn Week 1]:[Spring Week 12]],"&gt;0")</f>
        <v>8.8000000000000007</v>
      </c>
    </row>
    <row r="119" spans="1:38">
      <c r="A119" s="4" t="s">
        <v>69</v>
      </c>
      <c r="B119" s="2" t="s">
        <v>70</v>
      </c>
      <c r="C119" s="11" t="s">
        <v>125</v>
      </c>
      <c r="D119" s="29">
        <f>INDEX(Table2[CA weight],MATCH(Table1[[#This Row],[Module Code]],Table2[Module Code],0))</f>
        <v>100</v>
      </c>
      <c r="E119" s="29">
        <f>INDEX(Table2[Credits],MATCH(Table1[[#This Row],[Module Code]],Table2[Module Code],0))</f>
        <v>10</v>
      </c>
      <c r="F119" s="11" t="s">
        <v>303</v>
      </c>
      <c r="G119" s="11" t="s">
        <v>220</v>
      </c>
      <c r="H119" s="11" t="s">
        <v>305</v>
      </c>
      <c r="I119" s="11">
        <v>1</v>
      </c>
      <c r="J119" s="11">
        <f>AVERAGE(Table1[[#This Row],[Autumn Week 1]:[Spring Week 12]])*4*Table1[[#This Row],[Credits]]</f>
        <v>0.49999999999999994</v>
      </c>
      <c r="K119" s="11">
        <v>0.5</v>
      </c>
      <c r="L119" s="18">
        <v>1.2500000000000001E-2</v>
      </c>
      <c r="M119" s="18">
        <v>1.2500000000000001E-2</v>
      </c>
      <c r="N119" s="18">
        <v>1.2500000000000001E-2</v>
      </c>
      <c r="O119" s="18">
        <v>1.2500000000000001E-2</v>
      </c>
      <c r="P119" s="18">
        <v>1.2500000000000001E-2</v>
      </c>
      <c r="Q119" s="18"/>
      <c r="R119" s="18">
        <v>1.2500000000000001E-2</v>
      </c>
      <c r="S119" s="18"/>
      <c r="T119" s="18">
        <v>1.2500000000000001E-2</v>
      </c>
      <c r="U119" s="18"/>
      <c r="V119" s="18"/>
      <c r="W119" s="19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7">
        <f>SUMIF(Table1[[#This Row],[Autumn Week 1]:[Spring Week 12]],"&gt;0",Table1[[#This Row],[Autumn Week 1]:[Spring Week 12]])</f>
        <v>8.7499999999999994E-2</v>
      </c>
      <c r="AL119" s="27">
        <f>IF(Table1[[#This Row],[Hours]]&gt;0,Table1[[#This Row],[Hours]],Table1[[#This Row],[Nominal Hours]])*COUNTIF(Table1[[#This Row],[Autumn Week 1]:[Spring Week 12]],"&gt;0")</f>
        <v>3.5</v>
      </c>
    </row>
    <row r="120" spans="1:38">
      <c r="A120" s="4" t="s">
        <v>69</v>
      </c>
      <c r="B120" s="2" t="s">
        <v>70</v>
      </c>
      <c r="C120" s="11"/>
      <c r="D120" s="29">
        <f>INDEX(Table2[CA weight],MATCH(Table1[[#This Row],[Module Code]],Table2[Module Code],0))</f>
        <v>100</v>
      </c>
      <c r="E120" s="29">
        <f>INDEX(Table2[Credits],MATCH(Table1[[#This Row],[Module Code]],Table2[Module Code],0))</f>
        <v>10</v>
      </c>
      <c r="F120" s="11" t="s">
        <v>302</v>
      </c>
      <c r="G120" s="11" t="s">
        <v>229</v>
      </c>
      <c r="H120" s="11" t="s">
        <v>305</v>
      </c>
      <c r="I120" s="11">
        <v>1</v>
      </c>
      <c r="J120" s="11">
        <f>AVERAGE(Table1[[#This Row],[Autumn Week 1]:[Spring Week 12]])*4*Table1[[#This Row],[Credits]]</f>
        <v>4</v>
      </c>
      <c r="K120" s="11">
        <v>0.5</v>
      </c>
      <c r="L120" s="18"/>
      <c r="M120" s="18"/>
      <c r="N120" s="18"/>
      <c r="O120" s="19"/>
      <c r="P120" s="18"/>
      <c r="Q120" s="18"/>
      <c r="R120" s="18"/>
      <c r="S120" s="19"/>
      <c r="T120" s="18"/>
      <c r="U120" s="18"/>
      <c r="V120" s="18">
        <v>0.1</v>
      </c>
      <c r="W120" s="19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7">
        <f>SUMIF(Table1[[#This Row],[Autumn Week 1]:[Spring Week 12]],"&gt;0",Table1[[#This Row],[Autumn Week 1]:[Spring Week 12]])</f>
        <v>0.1</v>
      </c>
      <c r="AL120" s="27">
        <f>IF(Table1[[#This Row],[Hours]]&gt;0,Table1[[#This Row],[Hours]],Table1[[#This Row],[Nominal Hours]])*COUNTIF(Table1[[#This Row],[Autumn Week 1]:[Spring Week 12]],"&gt;0")</f>
        <v>0.5</v>
      </c>
    </row>
    <row r="121" spans="1:38">
      <c r="A121" s="4" t="s">
        <v>69</v>
      </c>
      <c r="B121" s="2" t="s">
        <v>70</v>
      </c>
      <c r="C121" s="11" t="s">
        <v>4</v>
      </c>
      <c r="D121" s="29">
        <f>INDEX(Table2[CA weight],MATCH(Table1[[#This Row],[Module Code]],Table2[Module Code],0))</f>
        <v>100</v>
      </c>
      <c r="E121" s="29">
        <f>INDEX(Table2[Credits],MATCH(Table1[[#This Row],[Module Code]],Table2[Module Code],0))</f>
        <v>10</v>
      </c>
      <c r="F121" s="11" t="s">
        <v>333</v>
      </c>
      <c r="G121" s="11" t="s">
        <v>229</v>
      </c>
      <c r="H121" s="11" t="s">
        <v>351</v>
      </c>
      <c r="I121" s="11">
        <v>4</v>
      </c>
      <c r="J121" s="11">
        <f>AVERAGE(Table1[[#This Row],[Autumn Week 1]:[Spring Week 12]])*4*Table1[[#This Row],[Credits]]</f>
        <v>0</v>
      </c>
      <c r="K121" s="11"/>
      <c r="L121" s="18"/>
      <c r="M121" s="18"/>
      <c r="N121" s="18"/>
      <c r="O121" s="19"/>
      <c r="P121" s="18">
        <v>0.35</v>
      </c>
      <c r="Q121" s="18">
        <v>-0.35</v>
      </c>
      <c r="R121" s="18"/>
      <c r="S121" s="19"/>
      <c r="T121" s="18"/>
      <c r="U121" s="18"/>
      <c r="V121" s="18"/>
      <c r="W121" s="19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7">
        <f>SUMIF(Table1[[#This Row],[Autumn Week 1]:[Spring Week 12]],"&gt;0",Table1[[#This Row],[Autumn Week 1]:[Spring Week 12]])</f>
        <v>0.35</v>
      </c>
      <c r="AL121" s="27">
        <f>IF(Table1[[#This Row],[Hours]]&gt;0,Table1[[#This Row],[Hours]],Table1[[#This Row],[Nominal Hours]])*COUNTIF(Table1[[#This Row],[Autumn Week 1]:[Spring Week 12]],"&gt;0")</f>
        <v>0</v>
      </c>
    </row>
    <row r="122" spans="1:38">
      <c r="A122" s="4" t="s">
        <v>69</v>
      </c>
      <c r="B122" s="2" t="s">
        <v>70</v>
      </c>
      <c r="C122" s="11" t="s">
        <v>123</v>
      </c>
      <c r="D122" s="29">
        <f>INDEX(Table2[CA weight],MATCH(Table1[[#This Row],[Module Code]],Table2[Module Code],0))</f>
        <v>100</v>
      </c>
      <c r="E122" s="29">
        <f>INDEX(Table2[Credits],MATCH(Table1[[#This Row],[Module Code]],Table2[Module Code],0))</f>
        <v>10</v>
      </c>
      <c r="F122" s="11" t="s">
        <v>201</v>
      </c>
      <c r="G122" s="11" t="s">
        <v>229</v>
      </c>
      <c r="H122" s="11" t="s">
        <v>305</v>
      </c>
      <c r="I122" s="11">
        <v>4</v>
      </c>
      <c r="J122" s="11">
        <f>AVERAGE(Table1[[#This Row],[Autumn Week 1]:[Spring Week 12]])*4*Table1[[#This Row],[Credits]]</f>
        <v>22</v>
      </c>
      <c r="K122" s="11">
        <v>25</v>
      </c>
      <c r="L122" s="18"/>
      <c r="M122" s="18"/>
      <c r="N122" s="18"/>
      <c r="O122" s="19"/>
      <c r="P122" s="18"/>
      <c r="Q122" s="18"/>
      <c r="R122" s="18"/>
      <c r="S122" s="19"/>
      <c r="T122" s="18"/>
      <c r="U122" s="18"/>
      <c r="V122" s="18">
        <v>0.55000000000000004</v>
      </c>
      <c r="W122" s="19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7">
        <f>SUMIF(Table1[[#This Row],[Autumn Week 1]:[Spring Week 12]],"&gt;0",Table1[[#This Row],[Autumn Week 1]:[Spring Week 12]])</f>
        <v>0.55000000000000004</v>
      </c>
      <c r="AL122" s="27">
        <f>IF(Table1[[#This Row],[Hours]]&gt;0,Table1[[#This Row],[Hours]],Table1[[#This Row],[Nominal Hours]])*COUNTIF(Table1[[#This Row],[Autumn Week 1]:[Spring Week 12]],"&gt;0")</f>
        <v>25</v>
      </c>
    </row>
    <row r="123" spans="1:38" ht="28">
      <c r="A123" s="4" t="s">
        <v>71</v>
      </c>
      <c r="B123" s="2" t="s">
        <v>72</v>
      </c>
      <c r="C123" s="11" t="s">
        <v>4</v>
      </c>
      <c r="D123" s="29">
        <f>INDEX(Table2[CA weight],MATCH(Table1[[#This Row],[Module Code]],Table2[Module Code],0))</f>
        <v>50</v>
      </c>
      <c r="E123" s="29">
        <f>INDEX(Table2[Credits],MATCH(Table1[[#This Row],[Module Code]],Table2[Module Code],0))</f>
        <v>10</v>
      </c>
      <c r="F123" s="37" t="s">
        <v>368</v>
      </c>
      <c r="G123" s="11" t="s">
        <v>229</v>
      </c>
      <c r="H123" s="11" t="s">
        <v>311</v>
      </c>
      <c r="I123" s="11">
        <v>1</v>
      </c>
      <c r="J123" s="11">
        <f>AVERAGE(Table1[[#This Row],[Autumn Week 1]:[Spring Week 12]])*4*Table1[[#This Row],[Credits]]</f>
        <v>0.39999999999999991</v>
      </c>
      <c r="K123" s="11">
        <v>0.5</v>
      </c>
      <c r="L123" s="18"/>
      <c r="M123" s="18">
        <v>0.01</v>
      </c>
      <c r="N123" s="18">
        <v>0.01</v>
      </c>
      <c r="O123" s="19">
        <v>0.01</v>
      </c>
      <c r="P123" s="18">
        <v>0.01</v>
      </c>
      <c r="Q123" s="18">
        <v>0.01</v>
      </c>
      <c r="R123" s="18">
        <v>0.01</v>
      </c>
      <c r="S123" s="19">
        <v>0.01</v>
      </c>
      <c r="T123" s="18">
        <v>0.01</v>
      </c>
      <c r="U123" s="18">
        <v>0.01</v>
      </c>
      <c r="V123" s="18">
        <v>0.01</v>
      </c>
      <c r="W123" s="19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7">
        <f>SUMIF(Table1[[#This Row],[Autumn Week 1]:[Spring Week 12]],"&gt;0",Table1[[#This Row],[Autumn Week 1]:[Spring Week 12]])</f>
        <v>9.9999999999999992E-2</v>
      </c>
      <c r="AL123" s="27">
        <f>IF(Table1[[#This Row],[Hours]]&gt;0,Table1[[#This Row],[Hours]],Table1[[#This Row],[Nominal Hours]])*COUNTIF(Table1[[#This Row],[Autumn Week 1]:[Spring Week 12]],"&gt;0")</f>
        <v>5</v>
      </c>
    </row>
    <row r="124" spans="1:38">
      <c r="A124" s="4" t="s">
        <v>71</v>
      </c>
      <c r="B124" s="2" t="s">
        <v>72</v>
      </c>
      <c r="C124" s="11" t="s">
        <v>5</v>
      </c>
      <c r="D124" s="29">
        <f>INDEX(Table2[CA weight],MATCH(Table1[[#This Row],[Module Code]],Table2[Module Code],0))</f>
        <v>50</v>
      </c>
      <c r="E124" s="29">
        <f>INDEX(Table2[Credits],MATCH(Table1[[#This Row],[Module Code]],Table2[Module Code],0))</f>
        <v>10</v>
      </c>
      <c r="F124" s="11" t="s">
        <v>206</v>
      </c>
      <c r="G124" s="11" t="s">
        <v>229</v>
      </c>
      <c r="H124" s="11" t="s">
        <v>305</v>
      </c>
      <c r="I124" s="11">
        <v>2</v>
      </c>
      <c r="J124" s="11">
        <f>AVERAGE(Table1[[#This Row],[Autumn Week 1]:[Spring Week 12]])*4*Table1[[#This Row],[Credits]]</f>
        <v>4</v>
      </c>
      <c r="K124" s="11"/>
      <c r="L124" s="18"/>
      <c r="M124" s="18"/>
      <c r="N124" s="18">
        <v>0.1</v>
      </c>
      <c r="O124" s="19"/>
      <c r="P124" s="18">
        <v>0.1</v>
      </c>
      <c r="Q124" s="18"/>
      <c r="R124" s="18">
        <v>0.1</v>
      </c>
      <c r="S124" s="19"/>
      <c r="T124" s="18"/>
      <c r="U124" s="18">
        <v>0.1</v>
      </c>
      <c r="V124" s="18"/>
      <c r="W124" s="19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7">
        <f>SUMIF(Table1[[#This Row],[Autumn Week 1]:[Spring Week 12]],"&gt;0",Table1[[#This Row],[Autumn Week 1]:[Spring Week 12]])</f>
        <v>0.4</v>
      </c>
      <c r="AL124" s="27">
        <f>IF(Table1[[#This Row],[Hours]]&gt;0,Table1[[#This Row],[Hours]],Table1[[#This Row],[Nominal Hours]])*COUNTIF(Table1[[#This Row],[Autumn Week 1]:[Spring Week 12]],"&gt;0")</f>
        <v>16</v>
      </c>
    </row>
    <row r="125" spans="1:38">
      <c r="A125" s="3" t="s">
        <v>190</v>
      </c>
      <c r="B125" s="3" t="s">
        <v>110</v>
      </c>
      <c r="C125" s="12" t="s">
        <v>5</v>
      </c>
      <c r="D125" s="29">
        <f>INDEX(Table2[CA weight],MATCH(Table1[[#This Row],[Module Code]],Table2[Module Code],0))</f>
        <v>20</v>
      </c>
      <c r="E125" s="29">
        <f>INDEX(Table2[Credits],MATCH(Table1[[#This Row],[Module Code]],Table2[Module Code],0))</f>
        <v>10</v>
      </c>
      <c r="F125" s="12" t="s">
        <v>206</v>
      </c>
      <c r="G125" s="11" t="s">
        <v>229</v>
      </c>
      <c r="H125" s="11" t="s">
        <v>311</v>
      </c>
      <c r="I125" s="11">
        <v>3</v>
      </c>
      <c r="J125" s="11">
        <f>AVERAGE(Table1[[#This Row],[Autumn Week 1]:[Spring Week 12]])*4*Table1[[#This Row],[Credits]]</f>
        <v>8</v>
      </c>
      <c r="K125" s="11"/>
      <c r="L125" s="18"/>
      <c r="M125" s="18"/>
      <c r="N125" s="18"/>
      <c r="O125" s="19"/>
      <c r="P125" s="18"/>
      <c r="Q125" s="18"/>
      <c r="R125" s="18"/>
      <c r="S125" s="19"/>
      <c r="T125" s="18"/>
      <c r="U125" s="18"/>
      <c r="V125" s="18"/>
      <c r="W125" s="19"/>
      <c r="X125" s="20"/>
      <c r="Y125" s="20"/>
      <c r="Z125" s="20"/>
      <c r="AA125" s="20">
        <v>0.2</v>
      </c>
      <c r="AB125" s="20"/>
      <c r="AC125" s="20"/>
      <c r="AD125" s="20"/>
      <c r="AE125" s="20"/>
      <c r="AF125" s="20"/>
      <c r="AG125" s="20"/>
      <c r="AH125" s="20"/>
      <c r="AI125" s="20"/>
      <c r="AJ125" s="20"/>
      <c r="AK125" s="27">
        <f>SUMIF(Table1[[#This Row],[Autumn Week 1]:[Spring Week 12]],"&gt;0",Table1[[#This Row],[Autumn Week 1]:[Spring Week 12]])</f>
        <v>0.2</v>
      </c>
      <c r="AL125" s="27">
        <f>IF(Table1[[#This Row],[Hours]]&gt;0,Table1[[#This Row],[Hours]],Table1[[#This Row],[Nominal Hours]])*COUNTIF(Table1[[#This Row],[Autumn Week 1]:[Spring Week 12]],"&gt;0")</f>
        <v>8</v>
      </c>
    </row>
    <row r="126" spans="1:38">
      <c r="A126" s="3" t="s">
        <v>191</v>
      </c>
      <c r="B126" s="3" t="s">
        <v>111</v>
      </c>
      <c r="C126" s="12" t="s">
        <v>5</v>
      </c>
      <c r="D126" s="29">
        <f>INDEX(Table2[CA weight],MATCH(Table1[[#This Row],[Module Code]],Table2[Module Code],0))</f>
        <v>30</v>
      </c>
      <c r="E126" s="29">
        <f>INDEX(Table2[Credits],MATCH(Table1[[#This Row],[Module Code]],Table2[Module Code],0))</f>
        <v>10</v>
      </c>
      <c r="F126" s="12" t="s">
        <v>206</v>
      </c>
      <c r="G126" s="11" t="s">
        <v>229</v>
      </c>
      <c r="H126" s="11" t="s">
        <v>305</v>
      </c>
      <c r="I126" s="11">
        <v>4</v>
      </c>
      <c r="J126" s="11">
        <f>AVERAGE(Table1[[#This Row],[Autumn Week 1]:[Spring Week 12]])*4*Table1[[#This Row],[Credits]]</f>
        <v>12</v>
      </c>
      <c r="K126" s="11"/>
      <c r="L126" s="18"/>
      <c r="M126" s="18"/>
      <c r="N126" s="18"/>
      <c r="O126" s="19"/>
      <c r="P126" s="18"/>
      <c r="Q126" s="18"/>
      <c r="R126" s="18"/>
      <c r="S126" s="19"/>
      <c r="T126" s="18"/>
      <c r="U126" s="18"/>
      <c r="V126" s="18"/>
      <c r="W126" s="19"/>
      <c r="X126" s="20"/>
      <c r="Y126" s="20"/>
      <c r="Z126" s="20"/>
      <c r="AA126" s="20"/>
      <c r="AB126" s="20"/>
      <c r="AC126" s="20"/>
      <c r="AD126" s="20"/>
      <c r="AE126" s="20"/>
      <c r="AF126" s="20">
        <v>0.3</v>
      </c>
      <c r="AG126" s="20"/>
      <c r="AH126" s="20"/>
      <c r="AI126" s="20"/>
      <c r="AJ126" s="20"/>
      <c r="AK126" s="27">
        <f>SUMIF(Table1[[#This Row],[Autumn Week 1]:[Spring Week 12]],"&gt;0",Table1[[#This Row],[Autumn Week 1]:[Spring Week 12]])</f>
        <v>0.3</v>
      </c>
      <c r="AL126" s="27">
        <f>IF(Table1[[#This Row],[Hours]]&gt;0,Table1[[#This Row],[Hours]],Table1[[#This Row],[Nominal Hours]])*COUNTIF(Table1[[#This Row],[Autumn Week 1]:[Spring Week 12]],"&gt;0")</f>
        <v>12</v>
      </c>
    </row>
    <row r="127" spans="1:38" ht="28">
      <c r="A127" s="3" t="s">
        <v>192</v>
      </c>
      <c r="B127" s="3" t="s">
        <v>112</v>
      </c>
      <c r="C127" s="11" t="s">
        <v>125</v>
      </c>
      <c r="D127" s="29">
        <f>INDEX(Table2[CA weight],MATCH(Table1[[#This Row],[Module Code]],Table2[Module Code],0))</f>
        <v>60</v>
      </c>
      <c r="E127" s="29">
        <f>INDEX(Table2[Credits],MATCH(Table1[[#This Row],[Module Code]],Table2[Module Code],0))</f>
        <v>10</v>
      </c>
      <c r="F127" s="37" t="s">
        <v>288</v>
      </c>
      <c r="G127" s="11" t="s">
        <v>229</v>
      </c>
      <c r="H127" s="11" t="s">
        <v>311</v>
      </c>
      <c r="I127" s="11">
        <v>1</v>
      </c>
      <c r="J127" s="11">
        <f>AVERAGE(Table1[[#This Row],[Autumn Week 1]:[Spring Week 12]])*4*Table1[[#This Row],[Credits]]</f>
        <v>0.79999999999999982</v>
      </c>
      <c r="K127" s="11">
        <v>0.5</v>
      </c>
      <c r="L127" s="18"/>
      <c r="M127" s="18"/>
      <c r="N127" s="18"/>
      <c r="O127" s="19"/>
      <c r="P127" s="18"/>
      <c r="Q127" s="18"/>
      <c r="R127" s="18"/>
      <c r="S127" s="19"/>
      <c r="T127" s="18"/>
      <c r="U127" s="18"/>
      <c r="V127" s="18"/>
      <c r="W127" s="19"/>
      <c r="X127" s="20"/>
      <c r="Y127" s="20">
        <v>0.02</v>
      </c>
      <c r="Z127" s="20">
        <v>0.02</v>
      </c>
      <c r="AA127" s="20">
        <v>0.02</v>
      </c>
      <c r="AB127" s="20">
        <v>0.02</v>
      </c>
      <c r="AC127" s="20">
        <v>0.02</v>
      </c>
      <c r="AD127" s="20">
        <v>0.02</v>
      </c>
      <c r="AE127" s="20">
        <v>0.02</v>
      </c>
      <c r="AF127" s="20">
        <v>0.02</v>
      </c>
      <c r="AG127" s="20">
        <v>0.02</v>
      </c>
      <c r="AH127" s="20">
        <v>0.02</v>
      </c>
      <c r="AI127" s="20"/>
      <c r="AJ127" s="20"/>
      <c r="AK127" s="27">
        <f>SUMIF(Table1[[#This Row],[Autumn Week 1]:[Spring Week 12]],"&gt;0",Table1[[#This Row],[Autumn Week 1]:[Spring Week 12]])</f>
        <v>0.19999999999999998</v>
      </c>
      <c r="AL127" s="27">
        <f>IF(Table1[[#This Row],[Hours]]&gt;0,Table1[[#This Row],[Hours]],Table1[[#This Row],[Nominal Hours]])*COUNTIF(Table1[[#This Row],[Autumn Week 1]:[Spring Week 12]],"&gt;0")</f>
        <v>5</v>
      </c>
    </row>
    <row r="128" spans="1:38">
      <c r="A128" s="3" t="s">
        <v>192</v>
      </c>
      <c r="B128" s="3" t="s">
        <v>112</v>
      </c>
      <c r="C128" s="12" t="s">
        <v>5</v>
      </c>
      <c r="D128" s="29">
        <f>INDEX(Table2[CA weight],MATCH(Table1[[#This Row],[Module Code]],Table2[Module Code],0))</f>
        <v>60</v>
      </c>
      <c r="E128" s="29">
        <f>INDEX(Table2[Credits],MATCH(Table1[[#This Row],[Module Code]],Table2[Module Code],0))</f>
        <v>10</v>
      </c>
      <c r="F128" s="12" t="s">
        <v>206</v>
      </c>
      <c r="G128" s="11" t="s">
        <v>229</v>
      </c>
      <c r="H128" s="11" t="s">
        <v>305</v>
      </c>
      <c r="I128" s="11">
        <v>3</v>
      </c>
      <c r="J128" s="11">
        <f>AVERAGE(Table1[[#This Row],[Autumn Week 1]:[Spring Week 12]])*4*Table1[[#This Row],[Credits]]</f>
        <v>4</v>
      </c>
      <c r="K128" s="11"/>
      <c r="L128" s="18"/>
      <c r="M128" s="18"/>
      <c r="N128" s="18"/>
      <c r="O128" s="19"/>
      <c r="P128" s="18"/>
      <c r="Q128" s="18"/>
      <c r="R128" s="18"/>
      <c r="S128" s="19"/>
      <c r="T128" s="18"/>
      <c r="U128" s="18"/>
      <c r="V128" s="18"/>
      <c r="W128" s="19"/>
      <c r="X128" s="20"/>
      <c r="Y128" s="20"/>
      <c r="Z128" s="20"/>
      <c r="AA128" s="20"/>
      <c r="AB128" s="20"/>
      <c r="AC128" s="20"/>
      <c r="AD128" s="20">
        <v>0.1</v>
      </c>
      <c r="AE128" s="20"/>
      <c r="AF128" s="20"/>
      <c r="AG128" s="20"/>
      <c r="AH128" s="20"/>
      <c r="AI128" s="20"/>
      <c r="AJ128" s="20"/>
      <c r="AK128" s="27">
        <f>SUMIF(Table1[[#This Row],[Autumn Week 1]:[Spring Week 12]],"&gt;0",Table1[[#This Row],[Autumn Week 1]:[Spring Week 12]])</f>
        <v>0.1</v>
      </c>
      <c r="AL128" s="27">
        <f>IF(Table1[[#This Row],[Hours]]&gt;0,Table1[[#This Row],[Hours]],Table1[[#This Row],[Nominal Hours]])*COUNTIF(Table1[[#This Row],[Autumn Week 1]:[Spring Week 12]],"&gt;0")</f>
        <v>4</v>
      </c>
    </row>
    <row r="129" spans="1:38">
      <c r="A129" s="3" t="s">
        <v>192</v>
      </c>
      <c r="B129" s="3" t="s">
        <v>112</v>
      </c>
      <c r="C129" s="12" t="s">
        <v>121</v>
      </c>
      <c r="D129" s="29">
        <f>INDEX(Table2[CA weight],MATCH(Table1[[#This Row],[Module Code]],Table2[Module Code],0))</f>
        <v>60</v>
      </c>
      <c r="E129" s="29">
        <f>INDEX(Table2[Credits],MATCH(Table1[[#This Row],[Module Code]],Table2[Module Code],0))</f>
        <v>10</v>
      </c>
      <c r="F129" s="12" t="s">
        <v>342</v>
      </c>
      <c r="G129" s="11" t="s">
        <v>229</v>
      </c>
      <c r="H129" s="11" t="s">
        <v>315</v>
      </c>
      <c r="I129" s="11">
        <v>2</v>
      </c>
      <c r="J129" s="11">
        <f>AVERAGE(Table1[[#This Row],[Autumn Week 1]:[Spring Week 12]])*4*Table1[[#This Row],[Credits]]</f>
        <v>12</v>
      </c>
      <c r="K129" s="11">
        <v>15</v>
      </c>
      <c r="L129" s="18"/>
      <c r="M129" s="18"/>
      <c r="N129" s="18"/>
      <c r="O129" s="19"/>
      <c r="P129" s="18"/>
      <c r="Q129" s="18"/>
      <c r="R129" s="18"/>
      <c r="S129" s="19"/>
      <c r="T129" s="18"/>
      <c r="U129" s="18"/>
      <c r="V129" s="18"/>
      <c r="W129" s="19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>
        <v>0.3</v>
      </c>
      <c r="AI129" s="20"/>
      <c r="AJ129" s="20"/>
      <c r="AK129" s="27">
        <f>SUMIF(Table1[[#This Row],[Autumn Week 1]:[Spring Week 12]],"&gt;0",Table1[[#This Row],[Autumn Week 1]:[Spring Week 12]])</f>
        <v>0.3</v>
      </c>
      <c r="AL129" s="27">
        <f>IF(Table1[[#This Row],[Hours]]&gt;0,Table1[[#This Row],[Hours]],Table1[[#This Row],[Nominal Hours]])*COUNTIF(Table1[[#This Row],[Autumn Week 1]:[Spring Week 12]],"&gt;0")</f>
        <v>15</v>
      </c>
    </row>
    <row r="130" spans="1:38" ht="28">
      <c r="A130" s="3" t="s">
        <v>193</v>
      </c>
      <c r="B130" s="3" t="s">
        <v>113</v>
      </c>
      <c r="C130" s="11" t="s">
        <v>125</v>
      </c>
      <c r="D130" s="29">
        <f>INDEX(Table2[CA weight],MATCH(Table1[[#This Row],[Module Code]],Table2[Module Code],0))</f>
        <v>20</v>
      </c>
      <c r="E130" s="29">
        <f>INDEX(Table2[Credits],MATCH(Table1[[#This Row],[Module Code]],Table2[Module Code],0))</f>
        <v>10</v>
      </c>
      <c r="F130" s="37" t="s">
        <v>289</v>
      </c>
      <c r="G130" s="11" t="s">
        <v>229</v>
      </c>
      <c r="H130" s="11" t="s">
        <v>359</v>
      </c>
      <c r="I130" s="11">
        <v>1</v>
      </c>
      <c r="J130" s="11">
        <f>AVERAGE(Table1[[#This Row],[Autumn Week 1]:[Spring Week 12]])*4*Table1[[#This Row],[Credits]]</f>
        <v>0.8</v>
      </c>
      <c r="K130" s="11">
        <v>0.5</v>
      </c>
      <c r="L130" s="18"/>
      <c r="M130" s="18"/>
      <c r="N130" s="18"/>
      <c r="O130" s="19"/>
      <c r="P130" s="18"/>
      <c r="Q130" s="18"/>
      <c r="R130" s="18"/>
      <c r="S130" s="19"/>
      <c r="T130" s="18"/>
      <c r="U130" s="18"/>
      <c r="V130" s="18"/>
      <c r="W130" s="19"/>
      <c r="X130" s="20"/>
      <c r="Y130" s="20">
        <v>0.02</v>
      </c>
      <c r="Z130" s="20">
        <v>0.02</v>
      </c>
      <c r="AA130" s="20">
        <v>0.02</v>
      </c>
      <c r="AB130" s="20">
        <v>0.02</v>
      </c>
      <c r="AC130" s="20">
        <v>0.02</v>
      </c>
      <c r="AD130" s="20"/>
      <c r="AE130" s="20"/>
      <c r="AF130" s="20"/>
      <c r="AG130" s="20"/>
      <c r="AH130" s="20"/>
      <c r="AI130" s="20"/>
      <c r="AJ130" s="20"/>
      <c r="AK130" s="27">
        <f>SUMIF(Table1[[#This Row],[Autumn Week 1]:[Spring Week 12]],"&gt;0",Table1[[#This Row],[Autumn Week 1]:[Spring Week 12]])</f>
        <v>0.1</v>
      </c>
      <c r="AL130" s="27">
        <f>IF(Table1[[#This Row],[Hours]]&gt;0,Table1[[#This Row],[Hours]],Table1[[#This Row],[Nominal Hours]])*COUNTIF(Table1[[#This Row],[Autumn Week 1]:[Spring Week 12]],"&gt;0")</f>
        <v>2.5</v>
      </c>
    </row>
    <row r="131" spans="1:38" ht="28">
      <c r="A131" s="3" t="s">
        <v>193</v>
      </c>
      <c r="B131" s="3" t="s">
        <v>113</v>
      </c>
      <c r="C131" s="11" t="s">
        <v>125</v>
      </c>
      <c r="D131" s="29">
        <f>INDEX(Table2[CA weight],MATCH(Table1[[#This Row],[Module Code]],Table2[Module Code],0))</f>
        <v>20</v>
      </c>
      <c r="E131" s="29">
        <f>INDEX(Table2[Credits],MATCH(Table1[[#This Row],[Module Code]],Table2[Module Code],0))</f>
        <v>10</v>
      </c>
      <c r="F131" s="37" t="s">
        <v>290</v>
      </c>
      <c r="G131" s="11" t="s">
        <v>229</v>
      </c>
      <c r="H131" s="11" t="s">
        <v>359</v>
      </c>
      <c r="I131" s="11">
        <v>1</v>
      </c>
      <c r="J131" s="11">
        <f>AVERAGE(Table1[[#This Row],[Autumn Week 1]:[Spring Week 12]])*4*Table1[[#This Row],[Credits]]</f>
        <v>0.8</v>
      </c>
      <c r="K131" s="11">
        <v>0.5</v>
      </c>
      <c r="L131" s="18"/>
      <c r="M131" s="18"/>
      <c r="N131" s="18"/>
      <c r="O131" s="19"/>
      <c r="P131" s="18"/>
      <c r="Q131" s="18"/>
      <c r="R131" s="18"/>
      <c r="S131" s="19"/>
      <c r="T131" s="18"/>
      <c r="U131" s="18"/>
      <c r="V131" s="18"/>
      <c r="W131" s="19"/>
      <c r="X131" s="20"/>
      <c r="Y131" s="20"/>
      <c r="Z131" s="20"/>
      <c r="AA131" s="20"/>
      <c r="AB131" s="20"/>
      <c r="AC131" s="20"/>
      <c r="AD131" s="20">
        <v>0.02</v>
      </c>
      <c r="AE131" s="20">
        <v>0.02</v>
      </c>
      <c r="AF131" s="20">
        <v>0.02</v>
      </c>
      <c r="AG131" s="20">
        <v>0.02</v>
      </c>
      <c r="AH131" s="20">
        <v>0.02</v>
      </c>
      <c r="AI131" s="20"/>
      <c r="AJ131" s="20"/>
      <c r="AK131" s="27">
        <f>SUMIF(Table1[[#This Row],[Autumn Week 1]:[Spring Week 12]],"&gt;0",Table1[[#This Row],[Autumn Week 1]:[Spring Week 12]])</f>
        <v>0.1</v>
      </c>
      <c r="AL131" s="27">
        <f>IF(Table1[[#This Row],[Hours]]&gt;0,Table1[[#This Row],[Hours]],Table1[[#This Row],[Nominal Hours]])*COUNTIF(Table1[[#This Row],[Autumn Week 1]:[Spring Week 12]],"&gt;0")</f>
        <v>2.5</v>
      </c>
    </row>
    <row r="132" spans="1:38">
      <c r="A132" s="3" t="s">
        <v>114</v>
      </c>
      <c r="B132" s="3" t="s">
        <v>115</v>
      </c>
      <c r="C132" s="12" t="s">
        <v>5</v>
      </c>
      <c r="D132" s="29">
        <f>INDEX(Table2[CA weight],MATCH(Table1[[#This Row],[Module Code]],Table2[Module Code],0))</f>
        <v>100</v>
      </c>
      <c r="E132" s="29">
        <f>INDEX(Table2[Credits],MATCH(Table1[[#This Row],[Module Code]],Table2[Module Code],0))</f>
        <v>10</v>
      </c>
      <c r="F132" s="12" t="s">
        <v>268</v>
      </c>
      <c r="G132" s="11" t="s">
        <v>229</v>
      </c>
      <c r="H132" s="11" t="s">
        <v>305</v>
      </c>
      <c r="I132" s="11">
        <v>3</v>
      </c>
      <c r="J132" s="11">
        <f>AVERAGE(Table1[[#This Row],[Autumn Week 1]:[Spring Week 12]])*4*Table1[[#This Row],[Credits]]</f>
        <v>16</v>
      </c>
      <c r="K132" s="11"/>
      <c r="L132" s="18"/>
      <c r="M132" s="18"/>
      <c r="N132" s="18"/>
      <c r="O132" s="19"/>
      <c r="P132" s="18"/>
      <c r="Q132" s="18"/>
      <c r="R132" s="18"/>
      <c r="S132" s="19"/>
      <c r="T132" s="18"/>
      <c r="U132" s="18"/>
      <c r="V132" s="18"/>
      <c r="W132" s="19"/>
      <c r="X132" s="20"/>
      <c r="Y132" s="20"/>
      <c r="Z132" s="20"/>
      <c r="AA132" s="20"/>
      <c r="AB132" s="20"/>
      <c r="AC132" s="20"/>
      <c r="AD132" s="20">
        <v>0.4</v>
      </c>
      <c r="AE132" s="20"/>
      <c r="AF132" s="20"/>
      <c r="AG132" s="20"/>
      <c r="AH132" s="20"/>
      <c r="AI132" s="20"/>
      <c r="AJ132" s="20"/>
      <c r="AK132" s="27">
        <f>SUMIF(Table1[[#This Row],[Autumn Week 1]:[Spring Week 12]],"&gt;0",Table1[[#This Row],[Autumn Week 1]:[Spring Week 12]])</f>
        <v>0.4</v>
      </c>
      <c r="AL132" s="27">
        <f>IF(Table1[[#This Row],[Hours]]&gt;0,Table1[[#This Row],[Hours]],Table1[[#This Row],[Nominal Hours]])*COUNTIF(Table1[[#This Row],[Autumn Week 1]:[Spring Week 12]],"&gt;0")</f>
        <v>16</v>
      </c>
    </row>
    <row r="133" spans="1:38">
      <c r="A133" s="3" t="s">
        <v>114</v>
      </c>
      <c r="B133" s="3" t="s">
        <v>115</v>
      </c>
      <c r="C133" s="12" t="s">
        <v>123</v>
      </c>
      <c r="D133" s="29">
        <f>INDEX(Table2[CA weight],MATCH(Table1[[#This Row],[Module Code]],Table2[Module Code],0))</f>
        <v>100</v>
      </c>
      <c r="E133" s="29">
        <f>INDEX(Table2[Credits],MATCH(Table1[[#This Row],[Module Code]],Table2[Module Code],0))</f>
        <v>10</v>
      </c>
      <c r="F133" s="12" t="s">
        <v>201</v>
      </c>
      <c r="G133" s="11" t="s">
        <v>229</v>
      </c>
      <c r="H133" s="11" t="s">
        <v>305</v>
      </c>
      <c r="I133" s="11">
        <v>3</v>
      </c>
      <c r="J133" s="11">
        <f>AVERAGE(Table1[[#This Row],[Autumn Week 1]:[Spring Week 12]])*4*Table1[[#This Row],[Credits]]</f>
        <v>22</v>
      </c>
      <c r="K133" s="11"/>
      <c r="L133" s="18"/>
      <c r="M133" s="18"/>
      <c r="N133" s="18"/>
      <c r="O133" s="19"/>
      <c r="P133" s="18"/>
      <c r="Q133" s="18"/>
      <c r="R133" s="18"/>
      <c r="S133" s="19"/>
      <c r="T133" s="18"/>
      <c r="U133" s="18"/>
      <c r="V133" s="18"/>
      <c r="W133" s="19"/>
      <c r="X133" s="20"/>
      <c r="Y133" s="20"/>
      <c r="Z133" s="20"/>
      <c r="AA133" s="20"/>
      <c r="AB133" s="20"/>
      <c r="AC133" s="20"/>
      <c r="AD133" s="20"/>
      <c r="AE133" s="20"/>
      <c r="AF133" s="20"/>
      <c r="AG133" s="20">
        <v>0.55000000000000004</v>
      </c>
      <c r="AH133" s="20"/>
      <c r="AI133" s="20"/>
      <c r="AJ133" s="20"/>
      <c r="AK133" s="27">
        <f>SUMIF(Table1[[#This Row],[Autumn Week 1]:[Spring Week 12]],"&gt;0",Table1[[#This Row],[Autumn Week 1]:[Spring Week 12]])</f>
        <v>0.55000000000000004</v>
      </c>
      <c r="AL133" s="27">
        <f>IF(Table1[[#This Row],[Hours]]&gt;0,Table1[[#This Row],[Hours]],Table1[[#This Row],[Nominal Hours]])*COUNTIF(Table1[[#This Row],[Autumn Week 1]:[Spring Week 12]],"&gt;0")</f>
        <v>22</v>
      </c>
    </row>
    <row r="134" spans="1:38">
      <c r="A134" s="3" t="s">
        <v>114</v>
      </c>
      <c r="B134" s="3" t="s">
        <v>115</v>
      </c>
      <c r="C134" s="12" t="s">
        <v>122</v>
      </c>
      <c r="D134" s="29">
        <f>INDEX(Table2[CA weight],MATCH(Table1[[#This Row],[Module Code]],Table2[Module Code],0))</f>
        <v>100</v>
      </c>
      <c r="E134" s="29">
        <f>INDEX(Table2[Credits],MATCH(Table1[[#This Row],[Module Code]],Table2[Module Code],0))</f>
        <v>10</v>
      </c>
      <c r="F134" s="12" t="s">
        <v>259</v>
      </c>
      <c r="G134" s="11" t="s">
        <v>229</v>
      </c>
      <c r="H134" s="11" t="s">
        <v>305</v>
      </c>
      <c r="I134" s="11">
        <v>1</v>
      </c>
      <c r="J134" s="11">
        <f>AVERAGE(Table1[[#This Row],[Autumn Week 1]:[Spring Week 12]])*4*Table1[[#This Row],[Credits]]</f>
        <v>2</v>
      </c>
      <c r="K134" s="11">
        <v>0.5</v>
      </c>
      <c r="L134" s="18"/>
      <c r="M134" s="18"/>
      <c r="N134" s="18"/>
      <c r="O134" s="19"/>
      <c r="P134" s="18"/>
      <c r="Q134" s="18"/>
      <c r="R134" s="18"/>
      <c r="S134" s="19"/>
      <c r="T134" s="18"/>
      <c r="U134" s="18"/>
      <c r="V134" s="18"/>
      <c r="W134" s="19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>
        <v>0.05</v>
      </c>
      <c r="AI134" s="20"/>
      <c r="AJ134" s="20"/>
      <c r="AK134" s="27">
        <f>SUMIF(Table1[[#This Row],[Autumn Week 1]:[Spring Week 12]],"&gt;0",Table1[[#This Row],[Autumn Week 1]:[Spring Week 12]])</f>
        <v>0.05</v>
      </c>
      <c r="AL134" s="27">
        <f>IF(Table1[[#This Row],[Hours]]&gt;0,Table1[[#This Row],[Hours]],Table1[[#This Row],[Nominal Hours]])*COUNTIF(Table1[[#This Row],[Autumn Week 1]:[Spring Week 12]],"&gt;0")</f>
        <v>0.5</v>
      </c>
    </row>
    <row r="135" spans="1:38" ht="28">
      <c r="A135" s="3" t="s">
        <v>239</v>
      </c>
      <c r="B135" s="28" t="s">
        <v>240</v>
      </c>
      <c r="C135" s="12" t="s">
        <v>4</v>
      </c>
      <c r="D135" s="29">
        <f>INDEX(Table2[CA weight],MATCH(Table1[[#This Row],[Module Code]],Table2[Module Code],0))</f>
        <v>50</v>
      </c>
      <c r="E135" s="29">
        <f>INDEX(Table2[Credits],MATCH(Table1[[#This Row],[Module Code]],Table2[Module Code],0))</f>
        <v>10</v>
      </c>
      <c r="F135" s="45" t="s">
        <v>288</v>
      </c>
      <c r="G135" s="11" t="s">
        <v>229</v>
      </c>
      <c r="H135" s="11" t="s">
        <v>311</v>
      </c>
      <c r="I135" s="11">
        <v>1</v>
      </c>
      <c r="J135" s="11">
        <f>AVERAGE(Table1[[#This Row],[Autumn Week 1]:[Spring Week 12]])*4*Table1[[#This Row],[Credits]]</f>
        <v>0.3636363636363637</v>
      </c>
      <c r="K135" s="11">
        <v>0.5</v>
      </c>
      <c r="L135" s="18"/>
      <c r="M135" s="18"/>
      <c r="N135" s="18"/>
      <c r="O135" s="19"/>
      <c r="P135" s="18"/>
      <c r="Q135" s="18"/>
      <c r="R135" s="18"/>
      <c r="S135" s="19"/>
      <c r="T135" s="18"/>
      <c r="U135" s="18"/>
      <c r="V135" s="18"/>
      <c r="W135" s="19"/>
      <c r="X135" s="20">
        <f>0.1/11</f>
        <v>9.0909090909090922E-3</v>
      </c>
      <c r="Y135" s="20">
        <f t="shared" ref="Y135:AH135" si="3">0.1/11</f>
        <v>9.0909090909090922E-3</v>
      </c>
      <c r="Z135" s="20">
        <f t="shared" si="3"/>
        <v>9.0909090909090922E-3</v>
      </c>
      <c r="AA135" s="20">
        <f t="shared" si="3"/>
        <v>9.0909090909090922E-3</v>
      </c>
      <c r="AB135" s="20">
        <f t="shared" si="3"/>
        <v>9.0909090909090922E-3</v>
      </c>
      <c r="AC135" s="20">
        <f t="shared" si="3"/>
        <v>9.0909090909090922E-3</v>
      </c>
      <c r="AD135" s="20">
        <f t="shared" si="3"/>
        <v>9.0909090909090922E-3</v>
      </c>
      <c r="AE135" s="20">
        <f t="shared" si="3"/>
        <v>9.0909090909090922E-3</v>
      </c>
      <c r="AF135" s="20">
        <f t="shared" si="3"/>
        <v>9.0909090909090922E-3</v>
      </c>
      <c r="AG135" s="20">
        <f t="shared" si="3"/>
        <v>9.0909090909090922E-3</v>
      </c>
      <c r="AH135" s="20">
        <f t="shared" si="3"/>
        <v>9.0909090909090922E-3</v>
      </c>
      <c r="AI135" s="20"/>
      <c r="AJ135" s="20"/>
      <c r="AK135" s="27">
        <f>SUMIF(Table1[[#This Row],[Autumn Week 1]:[Spring Week 12]],"&gt;0",Table1[[#This Row],[Autumn Week 1]:[Spring Week 12]])</f>
        <v>0.10000000000000002</v>
      </c>
      <c r="AL135" s="27">
        <f>IF(Table1[[#This Row],[Hours]]&gt;0,Table1[[#This Row],[Hours]],Table1[[#This Row],[Nominal Hours]])*COUNTIF(Table1[[#This Row],[Autumn Week 1]:[Spring Week 12]],"&gt;0")</f>
        <v>5.5</v>
      </c>
    </row>
    <row r="136" spans="1:38">
      <c r="A136" s="3" t="s">
        <v>239</v>
      </c>
      <c r="B136" s="28" t="s">
        <v>240</v>
      </c>
      <c r="C136" s="12" t="s">
        <v>5</v>
      </c>
      <c r="D136" s="29">
        <f>INDEX(Table2[CA weight],MATCH(Table1[[#This Row],[Module Code]],Table2[Module Code],0))</f>
        <v>50</v>
      </c>
      <c r="E136" s="29">
        <f>INDEX(Table2[Credits],MATCH(Table1[[#This Row],[Module Code]],Table2[Module Code],0))</f>
        <v>10</v>
      </c>
      <c r="F136" s="12" t="s">
        <v>206</v>
      </c>
      <c r="G136" s="11" t="s">
        <v>229</v>
      </c>
      <c r="H136" s="11" t="s">
        <v>351</v>
      </c>
      <c r="I136" s="11">
        <v>4</v>
      </c>
      <c r="J136" s="11">
        <f>AVERAGE(Table1[[#This Row],[Autumn Week 1]:[Spring Week 12]])*4*Table1[[#This Row],[Credits]]</f>
        <v>2.6666666666666665</v>
      </c>
      <c r="K136" s="11"/>
      <c r="L136" s="18"/>
      <c r="M136" s="18"/>
      <c r="N136" s="18"/>
      <c r="O136" s="19"/>
      <c r="P136" s="18"/>
      <c r="Q136" s="18"/>
      <c r="R136" s="18"/>
      <c r="S136" s="19"/>
      <c r="T136" s="18"/>
      <c r="U136" s="18"/>
      <c r="V136" s="18"/>
      <c r="W136" s="19"/>
      <c r="X136" s="20"/>
      <c r="Y136" s="20"/>
      <c r="Z136" s="20"/>
      <c r="AA136" s="20"/>
      <c r="AB136" s="20"/>
      <c r="AC136" s="20">
        <v>0.2</v>
      </c>
      <c r="AD136" s="20">
        <v>-0.2</v>
      </c>
      <c r="AE136" s="20"/>
      <c r="AF136" s="20"/>
      <c r="AG136" s="20"/>
      <c r="AH136" s="20">
        <v>0.2</v>
      </c>
      <c r="AI136" s="20"/>
      <c r="AJ136" s="20"/>
      <c r="AK136" s="27">
        <f>SUMIF(Table1[[#This Row],[Autumn Week 1]:[Spring Week 12]],"&gt;0",Table1[[#This Row],[Autumn Week 1]:[Spring Week 12]])</f>
        <v>0.4</v>
      </c>
      <c r="AL136" s="27">
        <f>IF(Table1[[#This Row],[Hours]]&gt;0,Table1[[#This Row],[Hours]],Table1[[#This Row],[Nominal Hours]])*COUNTIF(Table1[[#This Row],[Autumn Week 1]:[Spring Week 12]],"&gt;0")</f>
        <v>5.333333333333333</v>
      </c>
    </row>
    <row r="137" spans="1:38" ht="28">
      <c r="A137" s="3" t="s">
        <v>116</v>
      </c>
      <c r="B137" s="3" t="s">
        <v>117</v>
      </c>
      <c r="C137" s="11" t="s">
        <v>125</v>
      </c>
      <c r="D137" s="29">
        <f>INDEX(Table2[CA weight],MATCH(Table1[[#This Row],[Module Code]],Table2[Module Code],0))</f>
        <v>30</v>
      </c>
      <c r="E137" s="29">
        <f>INDEX(Table2[Credits],MATCH(Table1[[#This Row],[Module Code]],Table2[Module Code],0))</f>
        <v>10</v>
      </c>
      <c r="F137" s="37" t="s">
        <v>291</v>
      </c>
      <c r="G137" s="11" t="s">
        <v>229</v>
      </c>
      <c r="H137" s="11" t="s">
        <v>305</v>
      </c>
      <c r="I137" s="11">
        <v>1</v>
      </c>
      <c r="J137" s="11">
        <f>AVERAGE(Table1[[#This Row],[Autumn Week 1]:[Spring Week 12]])*4*Table1[[#This Row],[Credits]]</f>
        <v>1.2</v>
      </c>
      <c r="K137" s="11"/>
      <c r="L137" s="18"/>
      <c r="M137" s="18"/>
      <c r="N137" s="18"/>
      <c r="O137" s="19"/>
      <c r="P137" s="18"/>
      <c r="Q137" s="18"/>
      <c r="R137" s="18"/>
      <c r="S137" s="19"/>
      <c r="T137" s="18"/>
      <c r="U137" s="18"/>
      <c r="V137" s="18"/>
      <c r="W137" s="19"/>
      <c r="X137" s="20"/>
      <c r="Y137" s="20">
        <v>0.03</v>
      </c>
      <c r="Z137" s="20">
        <v>0.03</v>
      </c>
      <c r="AA137" s="20">
        <v>0.03</v>
      </c>
      <c r="AB137" s="20">
        <v>0.03</v>
      </c>
      <c r="AC137" s="20">
        <v>0.03</v>
      </c>
      <c r="AD137" s="20"/>
      <c r="AE137" s="20"/>
      <c r="AF137" s="20"/>
      <c r="AG137" s="20"/>
      <c r="AH137" s="20"/>
      <c r="AI137" s="20"/>
      <c r="AJ137" s="20"/>
      <c r="AK137" s="27">
        <f>SUMIF(Table1[[#This Row],[Autumn Week 1]:[Spring Week 12]],"&gt;0",Table1[[#This Row],[Autumn Week 1]:[Spring Week 12]])</f>
        <v>0.15</v>
      </c>
      <c r="AL137" s="27">
        <f>IF(Table1[[#This Row],[Hours]]&gt;0,Table1[[#This Row],[Hours]],Table1[[#This Row],[Nominal Hours]])*COUNTIF(Table1[[#This Row],[Autumn Week 1]:[Spring Week 12]],"&gt;0")</f>
        <v>6</v>
      </c>
    </row>
    <row r="138" spans="1:38" ht="28">
      <c r="A138" s="3" t="s">
        <v>116</v>
      </c>
      <c r="B138" s="3" t="s">
        <v>117</v>
      </c>
      <c r="C138" s="11" t="s">
        <v>125</v>
      </c>
      <c r="D138" s="29">
        <f>INDEX(Table2[CA weight],MATCH(Table1[[#This Row],[Module Code]],Table2[Module Code],0))</f>
        <v>30</v>
      </c>
      <c r="E138" s="29">
        <f>INDEX(Table2[Credits],MATCH(Table1[[#This Row],[Module Code]],Table2[Module Code],0))</f>
        <v>10</v>
      </c>
      <c r="F138" s="37" t="s">
        <v>292</v>
      </c>
      <c r="G138" s="11" t="s">
        <v>229</v>
      </c>
      <c r="H138" s="11" t="s">
        <v>305</v>
      </c>
      <c r="I138" s="11">
        <v>1</v>
      </c>
      <c r="J138" s="11">
        <f>AVERAGE(Table1[[#This Row],[Autumn Week 1]:[Spring Week 12]])*4*Table1[[#This Row],[Credits]]</f>
        <v>1.2</v>
      </c>
      <c r="K138" s="11"/>
      <c r="L138" s="18"/>
      <c r="M138" s="18"/>
      <c r="N138" s="18"/>
      <c r="O138" s="19"/>
      <c r="P138" s="18"/>
      <c r="Q138" s="18"/>
      <c r="R138" s="18"/>
      <c r="S138" s="19"/>
      <c r="T138" s="18"/>
      <c r="U138" s="18"/>
      <c r="V138" s="18"/>
      <c r="W138" s="19"/>
      <c r="X138" s="20"/>
      <c r="Y138" s="20"/>
      <c r="Z138" s="20"/>
      <c r="AA138" s="20"/>
      <c r="AB138" s="20"/>
      <c r="AC138" s="20"/>
      <c r="AD138" s="20">
        <v>0.03</v>
      </c>
      <c r="AE138" s="20">
        <v>0.03</v>
      </c>
      <c r="AF138" s="20">
        <v>0.03</v>
      </c>
      <c r="AG138" s="20">
        <v>0.03</v>
      </c>
      <c r="AH138" s="20">
        <v>0.03</v>
      </c>
      <c r="AI138" s="20"/>
      <c r="AJ138" s="20"/>
      <c r="AK138" s="27">
        <f>SUMIF(Table1[[#This Row],[Autumn Week 1]:[Spring Week 12]],"&gt;0",Table1[[#This Row],[Autumn Week 1]:[Spring Week 12]])</f>
        <v>0.15</v>
      </c>
      <c r="AL138" s="27">
        <f>IF(Table1[[#This Row],[Hours]]&gt;0,Table1[[#This Row],[Hours]],Table1[[#This Row],[Nominal Hours]])*COUNTIF(Table1[[#This Row],[Autumn Week 1]:[Spring Week 12]],"&gt;0")</f>
        <v>6</v>
      </c>
    </row>
    <row r="139" spans="1:38">
      <c r="A139" s="3" t="s">
        <v>68</v>
      </c>
      <c r="B139" s="3" t="s">
        <v>159</v>
      </c>
      <c r="C139" s="12" t="s">
        <v>5</v>
      </c>
      <c r="D139" s="29">
        <f>INDEX(Table2[CA weight],MATCH(Table1[[#This Row],[Module Code]],Table2[Module Code],0))</f>
        <v>50</v>
      </c>
      <c r="E139" s="29">
        <f>INDEX(Table2[Credits],MATCH(Table1[[#This Row],[Module Code]],Table2[Module Code],0))</f>
        <v>10</v>
      </c>
      <c r="F139" s="12"/>
      <c r="G139" s="11" t="s">
        <v>229</v>
      </c>
      <c r="H139" s="11" t="s">
        <v>305</v>
      </c>
      <c r="I139" s="11">
        <v>4</v>
      </c>
      <c r="J139" s="11">
        <f>AVERAGE(Table1[[#This Row],[Autumn Week 1]:[Spring Week 12]])*4*Table1[[#This Row],[Credits]]</f>
        <v>20</v>
      </c>
      <c r="K139" s="11">
        <v>25</v>
      </c>
      <c r="L139" s="18"/>
      <c r="M139" s="18"/>
      <c r="N139" s="18"/>
      <c r="O139" s="19"/>
      <c r="P139" s="18"/>
      <c r="Q139" s="18"/>
      <c r="R139" s="18"/>
      <c r="S139" s="19"/>
      <c r="T139" s="18"/>
      <c r="U139" s="18"/>
      <c r="V139" s="18"/>
      <c r="W139" s="19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/>
      <c r="AI139" s="20">
        <v>0.5</v>
      </c>
      <c r="AJ139" s="20"/>
      <c r="AK139" s="27">
        <f>SUMIF(Table1[[#This Row],[Autumn Week 1]:[Spring Week 12]],"&gt;0",Table1[[#This Row],[Autumn Week 1]:[Spring Week 12]])</f>
        <v>0.5</v>
      </c>
      <c r="AL139" s="27">
        <f>IF(Table1[[#This Row],[Hours]]&gt;0,Table1[[#This Row],[Hours]],Table1[[#This Row],[Nominal Hours]])*COUNTIF(Table1[[#This Row],[Autumn Week 1]:[Spring Week 12]],"&gt;0")</f>
        <v>25</v>
      </c>
    </row>
    <row r="140" spans="1:38">
      <c r="A140" s="3" t="s">
        <v>194</v>
      </c>
      <c r="B140" s="3" t="s">
        <v>118</v>
      </c>
      <c r="C140" s="12" t="s">
        <v>5</v>
      </c>
      <c r="D140" s="29">
        <f>INDEX(Table2[CA weight],MATCH(Table1[[#This Row],[Module Code]],Table2[Module Code],0))</f>
        <v>40</v>
      </c>
      <c r="E140" s="29">
        <f>INDEX(Table2[Credits],MATCH(Table1[[#This Row],[Module Code]],Table2[Module Code],0))</f>
        <v>10</v>
      </c>
      <c r="F140" s="12" t="s">
        <v>278</v>
      </c>
      <c r="G140" s="11" t="s">
        <v>229</v>
      </c>
      <c r="H140" s="11" t="s">
        <v>305</v>
      </c>
      <c r="I140" s="11">
        <v>3</v>
      </c>
      <c r="J140" s="11">
        <f>AVERAGE(Table1[[#This Row],[Autumn Week 1]:[Spring Week 12]])*4*Table1[[#This Row],[Credits]]</f>
        <v>4</v>
      </c>
      <c r="K140" s="11"/>
      <c r="L140" s="18"/>
      <c r="M140" s="18"/>
      <c r="N140" s="18"/>
      <c r="O140" s="19"/>
      <c r="P140" s="18"/>
      <c r="Q140" s="18"/>
      <c r="R140" s="18"/>
      <c r="S140" s="19"/>
      <c r="T140" s="18"/>
      <c r="U140" s="18"/>
      <c r="V140" s="18"/>
      <c r="W140" s="19"/>
      <c r="X140" s="20"/>
      <c r="Y140" s="20"/>
      <c r="Z140" s="20"/>
      <c r="AA140" s="20">
        <v>0.1</v>
      </c>
      <c r="AB140" s="20"/>
      <c r="AC140" s="20"/>
      <c r="AD140" s="20"/>
      <c r="AE140" s="20"/>
      <c r="AF140" s="20"/>
      <c r="AG140" s="20"/>
      <c r="AH140" s="20">
        <v>0.1</v>
      </c>
      <c r="AI140" s="20"/>
      <c r="AJ140" s="20"/>
      <c r="AK140" s="27">
        <f>SUMIF(Table1[[#This Row],[Autumn Week 1]:[Spring Week 12]],"&gt;0",Table1[[#This Row],[Autumn Week 1]:[Spring Week 12]])</f>
        <v>0.2</v>
      </c>
      <c r="AL140" s="27">
        <f>IF(Table1[[#This Row],[Hours]]&gt;0,Table1[[#This Row],[Hours]],Table1[[#This Row],[Nominal Hours]])*COUNTIF(Table1[[#This Row],[Autumn Week 1]:[Spring Week 12]],"&gt;0")</f>
        <v>8</v>
      </c>
    </row>
    <row r="141" spans="1:38">
      <c r="A141" s="3" t="s">
        <v>194</v>
      </c>
      <c r="B141" s="3" t="s">
        <v>118</v>
      </c>
      <c r="C141" s="12" t="s">
        <v>5</v>
      </c>
      <c r="D141" s="29">
        <f>INDEX(Table2[CA weight],MATCH(Table1[[#This Row],[Module Code]],Table2[Module Code],0))</f>
        <v>40</v>
      </c>
      <c r="E141" s="29">
        <f>INDEX(Table2[Credits],MATCH(Table1[[#This Row],[Module Code]],Table2[Module Code],0))</f>
        <v>10</v>
      </c>
      <c r="F141" s="12" t="s">
        <v>269</v>
      </c>
      <c r="G141" s="11" t="s">
        <v>229</v>
      </c>
      <c r="H141" s="11" t="s">
        <v>305</v>
      </c>
      <c r="I141" s="11">
        <v>3</v>
      </c>
      <c r="J141" s="11">
        <f>AVERAGE(Table1[[#This Row],[Autumn Week 1]:[Spring Week 12]])*4*Table1[[#This Row],[Credits]]</f>
        <v>0</v>
      </c>
      <c r="K141" s="11"/>
      <c r="L141" s="18"/>
      <c r="M141" s="18"/>
      <c r="N141" s="18"/>
      <c r="O141" s="19"/>
      <c r="P141" s="18"/>
      <c r="Q141" s="18"/>
      <c r="R141" s="18"/>
      <c r="S141" s="19"/>
      <c r="T141" s="18"/>
      <c r="U141" s="18"/>
      <c r="V141" s="18"/>
      <c r="W141" s="19"/>
      <c r="X141" s="20"/>
      <c r="Y141" s="20"/>
      <c r="Z141" s="20"/>
      <c r="AA141" s="20"/>
      <c r="AB141" s="20"/>
      <c r="AC141" s="20">
        <v>0.2</v>
      </c>
      <c r="AD141" s="20"/>
      <c r="AE141" s="20">
        <v>-0.2</v>
      </c>
      <c r="AF141" s="20"/>
      <c r="AG141" s="20"/>
      <c r="AH141" s="20"/>
      <c r="AI141" s="20"/>
      <c r="AJ141" s="20"/>
      <c r="AK141" s="27">
        <f>SUMIF(Table1[[#This Row],[Autumn Week 1]:[Spring Week 12]],"&gt;0",Table1[[#This Row],[Autumn Week 1]:[Spring Week 12]])</f>
        <v>0.2</v>
      </c>
      <c r="AL141" s="27">
        <f>IF(Table1[[#This Row],[Hours]]&gt;0,Table1[[#This Row],[Hours]],Table1[[#This Row],[Nominal Hours]])*COUNTIF(Table1[[#This Row],[Autumn Week 1]:[Spring Week 12]],"&gt;0")</f>
        <v>0</v>
      </c>
    </row>
    <row r="142" spans="1:38">
      <c r="A142" s="3" t="s">
        <v>195</v>
      </c>
      <c r="B142" s="3" t="s">
        <v>119</v>
      </c>
      <c r="C142" s="12" t="s">
        <v>5</v>
      </c>
      <c r="D142" s="29">
        <f>INDEX(Table2[CA weight],MATCH(Table1[[#This Row],[Module Code]],Table2[Module Code],0))</f>
        <v>100</v>
      </c>
      <c r="E142" s="29">
        <f>INDEX(Table2[Credits],MATCH(Table1[[#This Row],[Module Code]],Table2[Module Code],0))</f>
        <v>10</v>
      </c>
      <c r="F142" s="12" t="s">
        <v>270</v>
      </c>
      <c r="G142" s="11" t="s">
        <v>229</v>
      </c>
      <c r="H142" s="11" t="s">
        <v>305</v>
      </c>
      <c r="I142" s="11">
        <v>3</v>
      </c>
      <c r="J142" s="11">
        <f>AVERAGE(Table1[[#This Row],[Autumn Week 1]:[Spring Week 12]])*4*Table1[[#This Row],[Credits]]</f>
        <v>8</v>
      </c>
      <c r="K142" s="11"/>
      <c r="L142" s="18"/>
      <c r="M142" s="18"/>
      <c r="N142" s="18"/>
      <c r="O142" s="19"/>
      <c r="P142" s="18"/>
      <c r="Q142" s="18"/>
      <c r="R142" s="18"/>
      <c r="S142" s="19"/>
      <c r="T142" s="18"/>
      <c r="U142" s="18"/>
      <c r="V142" s="18"/>
      <c r="W142" s="19"/>
      <c r="X142" s="20"/>
      <c r="Y142" s="20"/>
      <c r="Z142" s="20"/>
      <c r="AA142" s="20">
        <v>0.2</v>
      </c>
      <c r="AB142" s="20"/>
      <c r="AC142" s="20"/>
      <c r="AD142" s="20"/>
      <c r="AE142" s="20"/>
      <c r="AF142" s="20"/>
      <c r="AG142" s="20"/>
      <c r="AH142" s="20"/>
      <c r="AI142" s="20"/>
      <c r="AJ142" s="20"/>
      <c r="AK142" s="27">
        <f>SUMIF(Table1[[#This Row],[Autumn Week 1]:[Spring Week 12]],"&gt;0",Table1[[#This Row],[Autumn Week 1]:[Spring Week 12]])</f>
        <v>0.2</v>
      </c>
      <c r="AL142" s="27">
        <f>IF(Table1[[#This Row],[Hours]]&gt;0,Table1[[#This Row],[Hours]],Table1[[#This Row],[Nominal Hours]])*COUNTIF(Table1[[#This Row],[Autumn Week 1]:[Spring Week 12]],"&gt;0")</f>
        <v>8</v>
      </c>
    </row>
    <row r="143" spans="1:38">
      <c r="A143" s="3" t="s">
        <v>195</v>
      </c>
      <c r="B143" s="3" t="s">
        <v>119</v>
      </c>
      <c r="C143" s="12" t="s">
        <v>5</v>
      </c>
      <c r="D143" s="29">
        <f>INDEX(Table2[CA weight],MATCH(Table1[[#This Row],[Module Code]],Table2[Module Code],0))</f>
        <v>100</v>
      </c>
      <c r="E143" s="29">
        <f>INDEX(Table2[Credits],MATCH(Table1[[#This Row],[Module Code]],Table2[Module Code],0))</f>
        <v>10</v>
      </c>
      <c r="F143" s="12" t="s">
        <v>273</v>
      </c>
      <c r="G143" s="11" t="s">
        <v>229</v>
      </c>
      <c r="H143" s="11" t="s">
        <v>305</v>
      </c>
      <c r="I143" s="11">
        <v>3</v>
      </c>
      <c r="J143" s="11">
        <f>AVERAGE(Table1[[#This Row],[Autumn Week 1]:[Spring Week 12]])*4*Table1[[#This Row],[Credits]]</f>
        <v>16</v>
      </c>
      <c r="K143" s="11"/>
      <c r="L143" s="18"/>
      <c r="M143" s="18"/>
      <c r="N143" s="18"/>
      <c r="O143" s="19"/>
      <c r="P143" s="18"/>
      <c r="Q143" s="18"/>
      <c r="R143" s="18"/>
      <c r="S143" s="19"/>
      <c r="T143" s="18"/>
      <c r="U143" s="18"/>
      <c r="V143" s="18"/>
      <c r="W143" s="19"/>
      <c r="X143" s="20"/>
      <c r="Y143" s="20"/>
      <c r="Z143" s="20"/>
      <c r="AA143" s="20"/>
      <c r="AB143" s="20"/>
      <c r="AC143" s="20"/>
      <c r="AD143" s="20"/>
      <c r="AE143" s="20">
        <v>0.4</v>
      </c>
      <c r="AF143" s="20"/>
      <c r="AG143" s="20"/>
      <c r="AH143" s="20"/>
      <c r="AI143" s="20"/>
      <c r="AJ143" s="20"/>
      <c r="AK143" s="27">
        <f>SUMIF(Table1[[#This Row],[Autumn Week 1]:[Spring Week 12]],"&gt;0",Table1[[#This Row],[Autumn Week 1]:[Spring Week 12]])</f>
        <v>0.4</v>
      </c>
      <c r="AL143" s="27">
        <f>IF(Table1[[#This Row],[Hours]]&gt;0,Table1[[#This Row],[Hours]],Table1[[#This Row],[Nominal Hours]])*COUNTIF(Table1[[#This Row],[Autumn Week 1]:[Spring Week 12]],"&gt;0")</f>
        <v>16</v>
      </c>
    </row>
    <row r="144" spans="1:38">
      <c r="A144" s="3" t="s">
        <v>195</v>
      </c>
      <c r="B144" s="3" t="s">
        <v>119</v>
      </c>
      <c r="C144" s="12" t="s">
        <v>5</v>
      </c>
      <c r="D144" s="29">
        <f>INDEX(Table2[CA weight],MATCH(Table1[[#This Row],[Module Code]],Table2[Module Code],0))</f>
        <v>100</v>
      </c>
      <c r="E144" s="29">
        <f>INDEX(Table2[Credits],MATCH(Table1[[#This Row],[Module Code]],Table2[Module Code],0))</f>
        <v>10</v>
      </c>
      <c r="F144" s="12" t="s">
        <v>274</v>
      </c>
      <c r="G144" s="11" t="s">
        <v>229</v>
      </c>
      <c r="H144" s="11" t="s">
        <v>305</v>
      </c>
      <c r="I144" s="11">
        <v>3</v>
      </c>
      <c r="J144" s="11">
        <f>AVERAGE(Table1[[#This Row],[Autumn Week 1]:[Spring Week 12]])*4*Table1[[#This Row],[Credits]]</f>
        <v>16</v>
      </c>
      <c r="K144" s="11"/>
      <c r="L144" s="18"/>
      <c r="M144" s="18"/>
      <c r="N144" s="18"/>
      <c r="O144" s="19"/>
      <c r="P144" s="18"/>
      <c r="Q144" s="18"/>
      <c r="R144" s="18"/>
      <c r="S144" s="19"/>
      <c r="T144" s="18"/>
      <c r="U144" s="18"/>
      <c r="V144" s="18"/>
      <c r="W144" s="19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0">
        <v>0.4</v>
      </c>
      <c r="AI144" s="20"/>
      <c r="AJ144" s="20"/>
      <c r="AK144" s="27">
        <f>SUMIF(Table1[[#This Row],[Autumn Week 1]:[Spring Week 12]],"&gt;0",Table1[[#This Row],[Autumn Week 1]:[Spring Week 12]])</f>
        <v>0.4</v>
      </c>
      <c r="AL144" s="27">
        <f>IF(Table1[[#This Row],[Hours]]&gt;0,Table1[[#This Row],[Hours]],Table1[[#This Row],[Nominal Hours]])*COUNTIF(Table1[[#This Row],[Autumn Week 1]:[Spring Week 12]],"&gt;0")</f>
        <v>16</v>
      </c>
    </row>
    <row r="145" spans="1:38">
      <c r="A145" s="3" t="s">
        <v>74</v>
      </c>
      <c r="B145" s="28" t="s">
        <v>23</v>
      </c>
      <c r="C145" s="11" t="s">
        <v>123</v>
      </c>
      <c r="D145" s="29">
        <f>INDEX(Table2[CA weight],MATCH(Table1[[#This Row],[Module Code]],Table2[Module Code],0))</f>
        <v>75</v>
      </c>
      <c r="E145" s="29">
        <f>INDEX(Table2[Credits],MATCH(Table1[[#This Row],[Module Code]],Table2[Module Code],0))</f>
        <v>60</v>
      </c>
      <c r="F145" s="11" t="s">
        <v>231</v>
      </c>
      <c r="G145" s="11" t="s">
        <v>344</v>
      </c>
      <c r="H145" s="11" t="s">
        <v>366</v>
      </c>
      <c r="I145" s="11">
        <v>1</v>
      </c>
      <c r="J145" s="11">
        <f>AVERAGE(Table1[[#This Row],[Autumn Week 1]:[Spring Week 12]])*4*Table1[[#This Row],[Credits]]</f>
        <v>9.9999999999999964</v>
      </c>
      <c r="K145" s="11">
        <v>20</v>
      </c>
      <c r="L145" s="18">
        <f>1/24</f>
        <v>4.1666666666666664E-2</v>
      </c>
      <c r="M145" s="18">
        <v>4.1666666666666664E-2</v>
      </c>
      <c r="N145" s="18">
        <v>4.1666666666666664E-2</v>
      </c>
      <c r="O145" s="19">
        <v>4.1666666666666664E-2</v>
      </c>
      <c r="P145" s="18">
        <v>4.1666666666666664E-2</v>
      </c>
      <c r="Q145" s="18">
        <v>4.1666666666666664E-2</v>
      </c>
      <c r="R145" s="18">
        <v>4.1666666666666664E-2</v>
      </c>
      <c r="S145" s="19">
        <v>4.1666666666666664E-2</v>
      </c>
      <c r="T145" s="18">
        <v>4.1666666666666664E-2</v>
      </c>
      <c r="U145" s="18">
        <v>4.1666666666666664E-2</v>
      </c>
      <c r="V145" s="18">
        <v>4.1666666666666664E-2</v>
      </c>
      <c r="W145" s="19">
        <v>4.1666666666666664E-2</v>
      </c>
      <c r="X145" s="20">
        <v>4.1666666666666664E-2</v>
      </c>
      <c r="Y145" s="20">
        <v>4.1666666666666664E-2</v>
      </c>
      <c r="Z145" s="20">
        <v>4.1666666666666664E-2</v>
      </c>
      <c r="AA145" s="20">
        <v>4.1666666666666664E-2</v>
      </c>
      <c r="AB145" s="20">
        <v>4.1666666666666664E-2</v>
      </c>
      <c r="AC145" s="20">
        <v>4.1666666666666664E-2</v>
      </c>
      <c r="AD145" s="20">
        <v>4.1666666666666664E-2</v>
      </c>
      <c r="AE145" s="20">
        <v>4.1666666666666664E-2</v>
      </c>
      <c r="AF145" s="20">
        <v>4.1666666666666664E-2</v>
      </c>
      <c r="AG145" s="20">
        <v>4.1666666666666664E-2</v>
      </c>
      <c r="AH145" s="20">
        <v>4.1666666666666664E-2</v>
      </c>
      <c r="AI145" s="20">
        <v>4.1666666666666664E-2</v>
      </c>
      <c r="AJ145" s="20"/>
      <c r="AK145" s="27">
        <f>SUMIF(Table1[[#This Row],[Autumn Week 1]:[Spring Week 12]],"&gt;0",Table1[[#This Row],[Autumn Week 1]:[Spring Week 12]])</f>
        <v>0.99999999999999956</v>
      </c>
      <c r="AL145" s="27">
        <f>IF(Table1[[#This Row],[Hours]]&gt;0,Table1[[#This Row],[Hours]],Table1[[#This Row],[Nominal Hours]])*COUNTIF(Table1[[#This Row],[Autumn Week 1]:[Spring Week 12]],"&gt;0")</f>
        <v>480</v>
      </c>
    </row>
    <row r="146" spans="1:38">
      <c r="A146" s="4" t="s">
        <v>74</v>
      </c>
      <c r="B146" s="2" t="s">
        <v>23</v>
      </c>
      <c r="C146" s="11" t="s">
        <v>122</v>
      </c>
      <c r="D146" s="29">
        <f>INDEX(Table2[CA weight],MATCH(Table1[[#This Row],[Module Code]],Table2[Module Code],0))</f>
        <v>75</v>
      </c>
      <c r="E146" s="29">
        <f>INDEX(Table2[Credits],MATCH(Table1[[#This Row],[Module Code]],Table2[Module Code],0))</f>
        <v>60</v>
      </c>
      <c r="F146" s="11" t="s">
        <v>338</v>
      </c>
      <c r="G146" s="11" t="s">
        <v>220</v>
      </c>
      <c r="H146" s="11" t="s">
        <v>305</v>
      </c>
      <c r="I146" s="11">
        <v>1</v>
      </c>
      <c r="J146" s="11">
        <f>AVERAGE(Table1[[#This Row],[Autumn Week 1]:[Spring Week 12]])*4*Table1[[#This Row],[Credits]]</f>
        <v>10</v>
      </c>
      <c r="K146" s="11">
        <v>0.1</v>
      </c>
      <c r="L146" s="18"/>
      <c r="M146" s="18"/>
      <c r="N146" s="18"/>
      <c r="O146" s="19"/>
      <c r="P146" s="18"/>
      <c r="Q146" s="18">
        <v>2.5000000000000001E-2</v>
      </c>
      <c r="R146" s="18"/>
      <c r="S146" s="19"/>
      <c r="T146" s="18"/>
      <c r="U146" s="18"/>
      <c r="V146" s="18">
        <v>2.5000000000000001E-2</v>
      </c>
      <c r="W146" s="19"/>
      <c r="X146" s="20"/>
      <c r="Y146" s="20"/>
      <c r="Z146" s="20"/>
      <c r="AA146" s="20"/>
      <c r="AB146" s="20"/>
      <c r="AC146" s="20">
        <v>7.4999999999999997E-2</v>
      </c>
      <c r="AD146" s="20"/>
      <c r="AE146" s="20"/>
      <c r="AF146" s="20"/>
      <c r="AG146" s="20"/>
      <c r="AH146" s="20"/>
      <c r="AI146" s="20"/>
      <c r="AJ146" s="20"/>
      <c r="AK146" s="27">
        <f>SUMIF(Table1[[#This Row],[Autumn Week 1]:[Spring Week 12]],"&gt;0",Table1[[#This Row],[Autumn Week 1]:[Spring Week 12]])</f>
        <v>0.125</v>
      </c>
      <c r="AL146" s="27">
        <f>IF(Table1[[#This Row],[Hours]]&gt;0,Table1[[#This Row],[Hours]],Table1[[#This Row],[Nominal Hours]])*COUNTIF(Table1[[#This Row],[Autumn Week 1]:[Spring Week 12]],"&gt;0")</f>
        <v>0.30000000000000004</v>
      </c>
    </row>
    <row r="147" spans="1:38">
      <c r="A147" s="4" t="s">
        <v>74</v>
      </c>
      <c r="B147" s="2" t="s">
        <v>23</v>
      </c>
      <c r="C147" s="11" t="s">
        <v>122</v>
      </c>
      <c r="D147" s="29">
        <f>INDEX(Table2[CA weight],MATCH(Table1[[#This Row],[Module Code]],Table2[Module Code],0))</f>
        <v>75</v>
      </c>
      <c r="E147" s="29">
        <f>INDEX(Table2[Credits],MATCH(Table1[[#This Row],[Module Code]],Table2[Module Code],0))</f>
        <v>60</v>
      </c>
      <c r="F147" s="11" t="s">
        <v>339</v>
      </c>
      <c r="G147" s="11" t="s">
        <v>229</v>
      </c>
      <c r="H147" s="11" t="s">
        <v>351</v>
      </c>
      <c r="I147" s="11">
        <v>1</v>
      </c>
      <c r="J147" s="11">
        <f>AVERAGE(Table1[[#This Row],[Autumn Week 1]:[Spring Week 12]])*4*Table1[[#This Row],[Credits]]</f>
        <v>60</v>
      </c>
      <c r="K147" s="11">
        <v>0.1</v>
      </c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20"/>
      <c r="Y147" s="20"/>
      <c r="Z147" s="20"/>
      <c r="AA147" s="20"/>
      <c r="AB147" s="20"/>
      <c r="AC147" s="20"/>
      <c r="AD147" s="20"/>
      <c r="AE147" s="20"/>
      <c r="AF147" s="20"/>
      <c r="AG147" s="20"/>
      <c r="AH147" s="20"/>
      <c r="AI147" s="20">
        <v>0.25</v>
      </c>
      <c r="AJ147" s="20"/>
      <c r="AK147" s="27">
        <f>SUMIF(Table1[[#This Row],[Autumn Week 1]:[Spring Week 12]],"&gt;0",Table1[[#This Row],[Autumn Week 1]:[Spring Week 12]])</f>
        <v>0.25</v>
      </c>
      <c r="AL147" s="27">
        <f>IF(Table1[[#This Row],[Hours]]&gt;0,Table1[[#This Row],[Hours]],Table1[[#This Row],[Nominal Hours]])*COUNTIF(Table1[[#This Row],[Autumn Week 1]:[Spring Week 12]],"&gt;0")</f>
        <v>0.1</v>
      </c>
    </row>
    <row r="148" spans="1:38">
      <c r="A148" s="4" t="s">
        <v>74</v>
      </c>
      <c r="B148" s="2" t="s">
        <v>23</v>
      </c>
      <c r="C148" s="11" t="s">
        <v>124</v>
      </c>
      <c r="D148" s="29">
        <f>INDEX(Table2[CA weight],MATCH(Table1[[#This Row],[Module Code]],Table2[Module Code],0))</f>
        <v>75</v>
      </c>
      <c r="E148" s="29">
        <f>INDEX(Table2[Credits],MATCH(Table1[[#This Row],[Module Code]],Table2[Module Code],0))</f>
        <v>60</v>
      </c>
      <c r="F148" s="11" t="s">
        <v>340</v>
      </c>
      <c r="G148" s="11" t="s">
        <v>229</v>
      </c>
      <c r="H148" s="11" t="s">
        <v>327</v>
      </c>
      <c r="I148" s="11">
        <v>1</v>
      </c>
      <c r="J148" s="11">
        <f>AVERAGE(Table1[[#This Row],[Autumn Week 1]:[Spring Week 12]])*4*Table1[[#This Row],[Credits]]</f>
        <v>24</v>
      </c>
      <c r="K148" s="11">
        <v>1</v>
      </c>
      <c r="L148" s="18"/>
      <c r="M148" s="18"/>
      <c r="N148" s="18"/>
      <c r="O148" s="19"/>
      <c r="P148" s="18"/>
      <c r="Q148" s="18"/>
      <c r="R148" s="18"/>
      <c r="S148" s="19"/>
      <c r="T148" s="18"/>
      <c r="U148" s="18"/>
      <c r="V148" s="18"/>
      <c r="W148" s="19"/>
      <c r="X148" s="20">
        <v>0.1</v>
      </c>
      <c r="Y148" s="20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7">
        <f>SUMIF(Table1[[#This Row],[Autumn Week 1]:[Spring Week 12]],"&gt;0",Table1[[#This Row],[Autumn Week 1]:[Spring Week 12]])</f>
        <v>0.1</v>
      </c>
      <c r="AL148" s="27">
        <f>IF(Table1[[#This Row],[Hours]]&gt;0,Table1[[#This Row],[Hours]],Table1[[#This Row],[Nominal Hours]])*COUNTIF(Table1[[#This Row],[Autumn Week 1]:[Spring Week 12]],"&gt;0")</f>
        <v>1</v>
      </c>
    </row>
    <row r="149" spans="1:38">
      <c r="A149" s="4" t="s">
        <v>74</v>
      </c>
      <c r="B149" s="2" t="s">
        <v>23</v>
      </c>
      <c r="C149" s="11" t="s">
        <v>123</v>
      </c>
      <c r="D149" s="29">
        <f>INDEX(Table2[CA weight],MATCH(Table1[[#This Row],[Module Code]],Table2[Module Code],0))</f>
        <v>75</v>
      </c>
      <c r="E149" s="29">
        <f>INDEX(Table2[Credits],MATCH(Table1[[#This Row],[Module Code]],Table2[Module Code],0))</f>
        <v>60</v>
      </c>
      <c r="F149" s="11" t="s">
        <v>341</v>
      </c>
      <c r="G149" s="11" t="s">
        <v>220</v>
      </c>
      <c r="H149" s="11" t="s">
        <v>305</v>
      </c>
      <c r="I149" s="11">
        <v>11</v>
      </c>
      <c r="J149" s="11">
        <f>AVERAGE(Table1[[#This Row],[Autumn Week 1]:[Spring Week 12]])*4*Table1[[#This Row],[Credits]]</f>
        <v>48</v>
      </c>
      <c r="K149" s="11">
        <v>10</v>
      </c>
      <c r="L149" s="18"/>
      <c r="M149" s="18"/>
      <c r="N149" s="18"/>
      <c r="O149" s="19"/>
      <c r="P149" s="18"/>
      <c r="Q149" s="18"/>
      <c r="R149" s="18"/>
      <c r="S149" s="19"/>
      <c r="T149" s="18"/>
      <c r="U149" s="18"/>
      <c r="V149" s="18">
        <v>0.2</v>
      </c>
      <c r="W149" s="19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7">
        <f>SUMIF(Table1[[#This Row],[Autumn Week 1]:[Spring Week 12]],"&gt;0",Table1[[#This Row],[Autumn Week 1]:[Spring Week 12]])</f>
        <v>0.2</v>
      </c>
      <c r="AL149" s="27">
        <f>IF(Table1[[#This Row],[Hours]]&gt;0,Table1[[#This Row],[Hours]],Table1[[#This Row],[Nominal Hours]])*COUNTIF(Table1[[#This Row],[Autumn Week 1]:[Spring Week 12]],"&gt;0")</f>
        <v>10</v>
      </c>
    </row>
    <row r="150" spans="1:38">
      <c r="A150" s="4" t="s">
        <v>74</v>
      </c>
      <c r="B150" s="2" t="s">
        <v>23</v>
      </c>
      <c r="C150" s="11" t="s">
        <v>123</v>
      </c>
      <c r="D150" s="29">
        <f>INDEX(Table2[CA weight],MATCH(Table1[[#This Row],[Module Code]],Table2[Module Code],0))</f>
        <v>75</v>
      </c>
      <c r="E150" s="29">
        <f>INDEX(Table2[Credits],MATCH(Table1[[#This Row],[Module Code]],Table2[Module Code],0))</f>
        <v>60</v>
      </c>
      <c r="F150" s="11" t="s">
        <v>232</v>
      </c>
      <c r="G150" s="11" t="s">
        <v>229</v>
      </c>
      <c r="H150" s="11" t="s">
        <v>351</v>
      </c>
      <c r="I150" s="11">
        <v>11</v>
      </c>
      <c r="J150" s="11">
        <f>AVERAGE(Table1[[#This Row],[Autumn Week 1]:[Spring Week 12]])*4*Table1[[#This Row],[Credits]]</f>
        <v>96</v>
      </c>
      <c r="K150" s="11">
        <v>10</v>
      </c>
      <c r="L150" s="18"/>
      <c r="M150" s="18"/>
      <c r="N150" s="18"/>
      <c r="O150" s="19"/>
      <c r="P150" s="18"/>
      <c r="Q150" s="18"/>
      <c r="R150" s="18"/>
      <c r="S150" s="19"/>
      <c r="T150" s="18"/>
      <c r="U150" s="18"/>
      <c r="V150" s="18"/>
      <c r="W150" s="19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/>
      <c r="AI150" s="20">
        <v>0.4</v>
      </c>
      <c r="AJ150" s="20"/>
      <c r="AK150" s="27">
        <f>SUMIF(Table1[[#This Row],[Autumn Week 1]:[Spring Week 12]],"&gt;0",Table1[[#This Row],[Autumn Week 1]:[Spring Week 12]])</f>
        <v>0.4</v>
      </c>
      <c r="AL150" s="27">
        <f>IF(Table1[[#This Row],[Hours]]&gt;0,Table1[[#This Row],[Hours]],Table1[[#This Row],[Nominal Hours]])*COUNTIF(Table1[[#This Row],[Autumn Week 1]:[Spring Week 12]],"&gt;0")</f>
        <v>10</v>
      </c>
    </row>
    <row r="151" spans="1:38">
      <c r="A151" s="4" t="s">
        <v>74</v>
      </c>
      <c r="B151" s="2" t="s">
        <v>23</v>
      </c>
      <c r="C151" s="11" t="s">
        <v>121</v>
      </c>
      <c r="D151" s="29">
        <f>INDEX(Table2[CA weight],MATCH(Table1[[#This Row],[Module Code]],Table2[Module Code],0))</f>
        <v>75</v>
      </c>
      <c r="E151" s="29">
        <f>INDEX(Table2[Credits],MATCH(Table1[[#This Row],[Module Code]],Table2[Module Code],0))</f>
        <v>60</v>
      </c>
      <c r="F151" s="11" t="s">
        <v>342</v>
      </c>
      <c r="G151" s="11" t="s">
        <v>229</v>
      </c>
      <c r="H151" s="11" t="s">
        <v>315</v>
      </c>
      <c r="I151" s="11">
        <v>1</v>
      </c>
      <c r="J151" s="11" t="e">
        <f>AVERAGE(Table1[[#This Row],[Autumn Week 1]:[Spring Week 12]])*4*Table1[[#This Row],[Credits]]</f>
        <v>#DIV/0!</v>
      </c>
      <c r="K151" s="11">
        <v>15</v>
      </c>
      <c r="L151" s="18"/>
      <c r="M151" s="18"/>
      <c r="N151" s="18"/>
      <c r="O151" s="19"/>
      <c r="P151" s="18"/>
      <c r="Q151" s="18"/>
      <c r="R151" s="18"/>
      <c r="S151" s="19"/>
      <c r="T151" s="18"/>
      <c r="U151" s="18"/>
      <c r="V151" s="18"/>
      <c r="W151" s="19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>
        <v>0.15</v>
      </c>
      <c r="AK151" s="27">
        <f>SUMIF(Table1[[#This Row],[Autumn Week 1]:[Spring Week 12]],"&gt;0",Table1[[#This Row],[Autumn Week 1]:[Spring Week 12]])</f>
        <v>0</v>
      </c>
      <c r="AL151" s="27">
        <f>IF(Table1[[#This Row],[Hours]]&gt;0,Table1[[#This Row],[Hours]],Table1[[#This Row],[Nominal Hours]])*COUNTIF(Table1[[#This Row],[Autumn Week 1]:[Spring Week 12]],"&gt;0")</f>
        <v>0</v>
      </c>
    </row>
    <row r="152" spans="1:38">
      <c r="A152" s="4" t="s">
        <v>74</v>
      </c>
      <c r="B152" s="2" t="s">
        <v>23</v>
      </c>
      <c r="C152" s="11" t="s">
        <v>313</v>
      </c>
      <c r="D152" s="29">
        <f>INDEX(Table2[CA weight],MATCH(Table1[[#This Row],[Module Code]],Table2[Module Code],0))</f>
        <v>75</v>
      </c>
      <c r="E152" s="29">
        <f>INDEX(Table2[Credits],MATCH(Table1[[#This Row],[Module Code]],Table2[Module Code],0))</f>
        <v>60</v>
      </c>
      <c r="F152" s="37" t="s">
        <v>343</v>
      </c>
      <c r="G152" s="11" t="s">
        <v>229</v>
      </c>
      <c r="H152" s="11" t="s">
        <v>315</v>
      </c>
      <c r="I152" s="11">
        <v>1</v>
      </c>
      <c r="J152" s="11" t="e">
        <f>AVERAGE(Table1[[#This Row],[Autumn Week 1]:[Spring Week 12]])*4*Table1[[#This Row],[Credits]]</f>
        <v>#DIV/0!</v>
      </c>
      <c r="K152" s="11">
        <v>2</v>
      </c>
      <c r="L152" s="18"/>
      <c r="M152" s="18"/>
      <c r="N152" s="18"/>
      <c r="O152" s="19"/>
      <c r="P152" s="18"/>
      <c r="Q152" s="18"/>
      <c r="R152" s="18"/>
      <c r="S152" s="19"/>
      <c r="T152" s="18"/>
      <c r="U152" s="18"/>
      <c r="V152" s="18"/>
      <c r="W152" s="19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>
        <v>0.15</v>
      </c>
      <c r="AK152" s="27">
        <f>SUMIF(Table1[[#This Row],[Autumn Week 1]:[Spring Week 12]],"&gt;0",Table1[[#This Row],[Autumn Week 1]:[Spring Week 12]])</f>
        <v>0</v>
      </c>
      <c r="AL152" s="27">
        <f>IF(Table1[[#This Row],[Hours]]&gt;0,Table1[[#This Row],[Hours]],Table1[[#This Row],[Nominal Hours]])*COUNTIF(Table1[[#This Row],[Autumn Week 1]:[Spring Week 12]],"&gt;0")</f>
        <v>0</v>
      </c>
    </row>
    <row r="153" spans="1:38">
      <c r="A153" s="4" t="s">
        <v>244</v>
      </c>
      <c r="B153" s="2" t="s">
        <v>245</v>
      </c>
      <c r="C153" s="11" t="s">
        <v>5</v>
      </c>
      <c r="D153" s="29">
        <f>INDEX(Table2[CA weight],MATCH(Table1[[#This Row],[Module Code]],Table2[Module Code],0))</f>
        <v>100</v>
      </c>
      <c r="E153" s="29">
        <f>INDEX(Table2[Credits],MATCH(Table1[[#This Row],[Module Code]],Table2[Module Code],0))</f>
        <v>10</v>
      </c>
      <c r="F153" s="11" t="s">
        <v>275</v>
      </c>
      <c r="G153" s="11" t="s">
        <v>229</v>
      </c>
      <c r="H153" s="11" t="s">
        <v>305</v>
      </c>
      <c r="I153" s="11">
        <v>2</v>
      </c>
      <c r="J153" s="11">
        <f>AVERAGE(Table1[[#This Row],[Autumn Week 1]:[Spring Week 12]])*4*Table1[[#This Row],[Credits]]</f>
        <v>16</v>
      </c>
      <c r="K153" s="11"/>
      <c r="L153" s="18"/>
      <c r="M153" s="18"/>
      <c r="N153" s="18"/>
      <c r="O153" s="19">
        <v>0.4</v>
      </c>
      <c r="P153" s="18"/>
      <c r="Q153" s="18"/>
      <c r="R153" s="18"/>
      <c r="S153" s="19"/>
      <c r="T153" s="18"/>
      <c r="U153" s="18"/>
      <c r="V153" s="18"/>
      <c r="W153" s="19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7">
        <f>SUMIF(Table1[[#This Row],[Autumn Week 1]:[Spring Week 12]],"&gt;0",Table1[[#This Row],[Autumn Week 1]:[Spring Week 12]])</f>
        <v>0.4</v>
      </c>
      <c r="AL153" s="27">
        <f>IF(Table1[[#This Row],[Hours]]&gt;0,Table1[[#This Row],[Hours]],Table1[[#This Row],[Nominal Hours]])*COUNTIF(Table1[[#This Row],[Autumn Week 1]:[Spring Week 12]],"&gt;0")</f>
        <v>16</v>
      </c>
    </row>
    <row r="154" spans="1:38">
      <c r="A154" s="4" t="s">
        <v>244</v>
      </c>
      <c r="B154" s="2" t="s">
        <v>245</v>
      </c>
      <c r="C154" s="11" t="s">
        <v>5</v>
      </c>
      <c r="D154" s="29">
        <f>INDEX(Table2[CA weight],MATCH(Table1[[#This Row],[Module Code]],Table2[Module Code],0))</f>
        <v>100</v>
      </c>
      <c r="E154" s="29">
        <f>INDEX(Table2[Credits],MATCH(Table1[[#This Row],[Module Code]],Table2[Module Code],0))</f>
        <v>10</v>
      </c>
      <c r="F154" s="11" t="s">
        <v>276</v>
      </c>
      <c r="G154" s="11" t="s">
        <v>229</v>
      </c>
      <c r="H154" s="11" t="s">
        <v>305</v>
      </c>
      <c r="I154" s="11">
        <v>4</v>
      </c>
      <c r="J154" s="11">
        <f>AVERAGE(Table1[[#This Row],[Autumn Week 1]:[Spring Week 12]])*4*Table1[[#This Row],[Credits]]</f>
        <v>16</v>
      </c>
      <c r="K154" s="11"/>
      <c r="L154" s="18"/>
      <c r="M154" s="18"/>
      <c r="N154" s="18"/>
      <c r="O154" s="19"/>
      <c r="P154" s="18"/>
      <c r="Q154" s="18"/>
      <c r="R154" s="18"/>
      <c r="S154" s="19">
        <v>0.4</v>
      </c>
      <c r="T154" s="18"/>
      <c r="U154" s="18"/>
      <c r="V154" s="18"/>
      <c r="W154" s="19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7">
        <f>SUMIF(Table1[[#This Row],[Autumn Week 1]:[Spring Week 12]],"&gt;0",Table1[[#This Row],[Autumn Week 1]:[Spring Week 12]])</f>
        <v>0.4</v>
      </c>
      <c r="AL154" s="27">
        <f>IF(Table1[[#This Row],[Hours]]&gt;0,Table1[[#This Row],[Hours]],Table1[[#This Row],[Nominal Hours]])*COUNTIF(Table1[[#This Row],[Autumn Week 1]:[Spring Week 12]],"&gt;0")</f>
        <v>16</v>
      </c>
    </row>
    <row r="155" spans="1:38">
      <c r="A155" s="4" t="s">
        <v>244</v>
      </c>
      <c r="B155" s="2" t="s">
        <v>245</v>
      </c>
      <c r="C155" s="11" t="s">
        <v>5</v>
      </c>
      <c r="D155" s="29">
        <f>INDEX(Table2[CA weight],MATCH(Table1[[#This Row],[Module Code]],Table2[Module Code],0))</f>
        <v>100</v>
      </c>
      <c r="E155" s="29">
        <f>INDEX(Table2[Credits],MATCH(Table1[[#This Row],[Module Code]],Table2[Module Code],0))</f>
        <v>10</v>
      </c>
      <c r="F155" s="11" t="s">
        <v>277</v>
      </c>
      <c r="G155" s="11" t="s">
        <v>229</v>
      </c>
      <c r="H155" s="11" t="s">
        <v>305</v>
      </c>
      <c r="I155" s="11">
        <v>3</v>
      </c>
      <c r="J155" s="11">
        <f>AVERAGE(Table1[[#This Row],[Autumn Week 1]:[Spring Week 12]])*4*Table1[[#This Row],[Credits]]</f>
        <v>8</v>
      </c>
      <c r="K155" s="11"/>
      <c r="L155" s="18"/>
      <c r="M155" s="18"/>
      <c r="N155" s="18"/>
      <c r="O155" s="19"/>
      <c r="P155" s="18"/>
      <c r="Q155" s="18"/>
      <c r="R155" s="18"/>
      <c r="S155" s="19"/>
      <c r="T155" s="18"/>
      <c r="U155" s="18"/>
      <c r="V155" s="18">
        <v>0.2</v>
      </c>
      <c r="W155" s="19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7">
        <f>SUMIF(Table1[[#This Row],[Autumn Week 1]:[Spring Week 12]],"&gt;0",Table1[[#This Row],[Autumn Week 1]:[Spring Week 12]])</f>
        <v>0.2</v>
      </c>
      <c r="AL155" s="27">
        <f>IF(Table1[[#This Row],[Hours]]&gt;0,Table1[[#This Row],[Hours]],Table1[[#This Row],[Nominal Hours]])*COUNTIF(Table1[[#This Row],[Autumn Week 1]:[Spring Week 12]],"&gt;0")</f>
        <v>8</v>
      </c>
    </row>
    <row r="156" spans="1:38">
      <c r="A156" s="4" t="s">
        <v>246</v>
      </c>
      <c r="B156" s="2" t="s">
        <v>247</v>
      </c>
      <c r="C156" s="11" t="s">
        <v>5</v>
      </c>
      <c r="D156" s="29">
        <f>INDEX(Table2[CA weight],MATCH(Table1[[#This Row],[Module Code]],Table2[Module Code],0))</f>
        <v>100</v>
      </c>
      <c r="E156" s="29">
        <f>INDEX(Table2[Credits],MATCH(Table1[[#This Row],[Module Code]],Table2[Module Code],0))</f>
        <v>10</v>
      </c>
      <c r="F156" s="11" t="s">
        <v>205</v>
      </c>
      <c r="G156" s="11" t="s">
        <v>229</v>
      </c>
      <c r="H156" s="11" t="s">
        <v>305</v>
      </c>
      <c r="I156" s="11">
        <v>5</v>
      </c>
      <c r="J156" s="11">
        <f>AVERAGE(Table1[[#This Row],[Autumn Week 1]:[Spring Week 12]])*4*Table1[[#This Row],[Credits]]</f>
        <v>20</v>
      </c>
      <c r="K156" s="11"/>
      <c r="L156" s="18"/>
      <c r="M156" s="18"/>
      <c r="N156" s="18"/>
      <c r="O156" s="19"/>
      <c r="P156" s="18"/>
      <c r="Q156" s="18"/>
      <c r="R156" s="18"/>
      <c r="S156" s="19"/>
      <c r="T156" s="18"/>
      <c r="U156" s="18"/>
      <c r="V156" s="18"/>
      <c r="W156" s="19"/>
      <c r="X156" s="20"/>
      <c r="Y156" s="20"/>
      <c r="Z156" s="20"/>
      <c r="AA156" s="20"/>
      <c r="AB156" s="20"/>
      <c r="AC156" s="20">
        <v>0.5</v>
      </c>
      <c r="AD156" s="20"/>
      <c r="AE156" s="20"/>
      <c r="AF156" s="20"/>
      <c r="AG156" s="20"/>
      <c r="AH156" s="20">
        <v>0.5</v>
      </c>
      <c r="AI156" s="20"/>
      <c r="AJ156" s="20"/>
      <c r="AK156" s="27">
        <f>SUMIF(Table1[[#This Row],[Autumn Week 1]:[Spring Week 12]],"&gt;0",Table1[[#This Row],[Autumn Week 1]:[Spring Week 12]])</f>
        <v>1</v>
      </c>
      <c r="AL156" s="27">
        <f>IF(Table1[[#This Row],[Hours]]&gt;0,Table1[[#This Row],[Hours]],Table1[[#This Row],[Nominal Hours]])*COUNTIF(Table1[[#This Row],[Autumn Week 1]:[Spring Week 12]],"&gt;0")</f>
        <v>40</v>
      </c>
    </row>
    <row r="157" spans="1:38">
      <c r="A157" s="4" t="s">
        <v>242</v>
      </c>
      <c r="B157" s="28" t="s">
        <v>243</v>
      </c>
      <c r="C157" s="11" t="s">
        <v>5</v>
      </c>
      <c r="D157" s="29">
        <f>INDEX(Table2[CA weight],MATCH(Table1[[#This Row],[Module Code]],Table2[Module Code],0))</f>
        <v>100</v>
      </c>
      <c r="E157" s="29">
        <f>INDEX(Table2[Credits],MATCH(Table1[[#This Row],[Module Code]],Table2[Module Code],0))</f>
        <v>10</v>
      </c>
      <c r="F157" s="11" t="s">
        <v>304</v>
      </c>
      <c r="G157" s="11" t="s">
        <v>229</v>
      </c>
      <c r="H157" s="11" t="s">
        <v>305</v>
      </c>
      <c r="I157" s="11">
        <v>1</v>
      </c>
      <c r="J157" s="11">
        <f>AVERAGE(Table1[[#This Row],[Autumn Week 1]:[Spring Week 12]])*4*Table1[[#This Row],[Credits]]</f>
        <v>1.9999999999999998</v>
      </c>
      <c r="K157" s="11"/>
      <c r="L157" s="18">
        <v>0.05</v>
      </c>
      <c r="M157" s="18">
        <v>0.05</v>
      </c>
      <c r="N157" s="18">
        <v>0.05</v>
      </c>
      <c r="O157" s="18">
        <v>0.05</v>
      </c>
      <c r="P157" s="18">
        <v>0.05</v>
      </c>
      <c r="Q157" s="18">
        <v>0.05</v>
      </c>
      <c r="R157" s="18">
        <v>0.05</v>
      </c>
      <c r="S157" s="18">
        <v>0.05</v>
      </c>
      <c r="T157" s="18">
        <v>0.05</v>
      </c>
      <c r="U157" s="18">
        <v>0.05</v>
      </c>
      <c r="V157" s="18"/>
      <c r="W157" s="19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7">
        <f>SUMIF(Table1[[#This Row],[Autumn Week 1]:[Spring Week 12]],"&gt;0",Table1[[#This Row],[Autumn Week 1]:[Spring Week 12]])</f>
        <v>0.49999999999999994</v>
      </c>
      <c r="AL157" s="27">
        <f>IF(Table1[[#This Row],[Hours]]&gt;0,Table1[[#This Row],[Hours]],Table1[[#This Row],[Nominal Hours]])*COUNTIF(Table1[[#This Row],[Autumn Week 1]:[Spring Week 12]],"&gt;0")</f>
        <v>19.999999999999996</v>
      </c>
    </row>
    <row r="158" spans="1:38">
      <c r="A158" s="4" t="s">
        <v>242</v>
      </c>
      <c r="B158" s="28" t="s">
        <v>243</v>
      </c>
      <c r="C158" s="11" t="s">
        <v>5</v>
      </c>
      <c r="D158" s="29">
        <f>INDEX(Table2[CA weight],MATCH(Table1[[#This Row],[Module Code]],Table2[Module Code],0))</f>
        <v>100</v>
      </c>
      <c r="E158" s="29">
        <f>INDEX(Table2[Credits],MATCH(Table1[[#This Row],[Module Code]],Table2[Module Code],0))</f>
        <v>10</v>
      </c>
      <c r="F158" s="11" t="s">
        <v>306</v>
      </c>
      <c r="G158" s="11" t="s">
        <v>229</v>
      </c>
      <c r="H158" s="11" t="s">
        <v>305</v>
      </c>
      <c r="I158" s="11">
        <v>1</v>
      </c>
      <c r="J158" s="11">
        <f>AVERAGE(Table1[[#This Row],[Autumn Week 1]:[Spring Week 12]])*4*Table1[[#This Row],[Credits]]</f>
        <v>0.79999999999999982</v>
      </c>
      <c r="K158" s="11"/>
      <c r="L158" s="18">
        <v>0.02</v>
      </c>
      <c r="M158" s="18">
        <v>0.02</v>
      </c>
      <c r="N158" s="18">
        <v>0.02</v>
      </c>
      <c r="O158" s="18">
        <v>0.02</v>
      </c>
      <c r="P158" s="18">
        <v>0.02</v>
      </c>
      <c r="Q158" s="18">
        <v>0.02</v>
      </c>
      <c r="R158" s="18">
        <v>0.02</v>
      </c>
      <c r="S158" s="18">
        <v>0.02</v>
      </c>
      <c r="T158" s="18">
        <v>0.02</v>
      </c>
      <c r="U158" s="18">
        <v>0.02</v>
      </c>
      <c r="V158" s="18"/>
      <c r="W158" s="19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7">
        <f>SUMIF(Table1[[#This Row],[Autumn Week 1]:[Spring Week 12]],"&gt;0",Table1[[#This Row],[Autumn Week 1]:[Spring Week 12]])</f>
        <v>0.19999999999999998</v>
      </c>
      <c r="AL158" s="27">
        <f>IF(Table1[[#This Row],[Hours]]&gt;0,Table1[[#This Row],[Hours]],Table1[[#This Row],[Nominal Hours]])*COUNTIF(Table1[[#This Row],[Autumn Week 1]:[Spring Week 12]],"&gt;0")</f>
        <v>7.9999999999999982</v>
      </c>
    </row>
    <row r="159" spans="1:38">
      <c r="A159" s="4" t="s">
        <v>242</v>
      </c>
      <c r="B159" s="28" t="s">
        <v>243</v>
      </c>
      <c r="C159" s="11" t="s">
        <v>5</v>
      </c>
      <c r="D159" s="29">
        <f>INDEX(Table2[CA weight],MATCH(Table1[[#This Row],[Module Code]],Table2[Module Code],0))</f>
        <v>100</v>
      </c>
      <c r="E159" s="29">
        <f>INDEX(Table2[Credits],MATCH(Table1[[#This Row],[Module Code]],Table2[Module Code],0))</f>
        <v>10</v>
      </c>
      <c r="F159" s="11" t="s">
        <v>307</v>
      </c>
      <c r="G159" s="11" t="s">
        <v>229</v>
      </c>
      <c r="H159" s="11" t="s">
        <v>305</v>
      </c>
      <c r="I159" s="11">
        <v>11</v>
      </c>
      <c r="J159" s="11">
        <f>AVERAGE(Table1[[#This Row],[Autumn Week 1]:[Spring Week 12]])*4*Table1[[#This Row],[Credits]]</f>
        <v>12</v>
      </c>
      <c r="K159" s="11"/>
      <c r="L159" s="18"/>
      <c r="M159" s="18"/>
      <c r="N159" s="18"/>
      <c r="O159" s="19"/>
      <c r="P159" s="18"/>
      <c r="Q159" s="18"/>
      <c r="R159" s="18"/>
      <c r="S159" s="19"/>
      <c r="T159" s="18"/>
      <c r="U159" s="18"/>
      <c r="V159" s="18">
        <v>0.3</v>
      </c>
      <c r="W159" s="19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7">
        <f>SUMIF(Table1[[#This Row],[Autumn Week 1]:[Spring Week 12]],"&gt;0",Table1[[#This Row],[Autumn Week 1]:[Spring Week 12]])</f>
        <v>0.3</v>
      </c>
      <c r="AL159" s="27">
        <f>IF(Table1[[#This Row],[Hours]]&gt;0,Table1[[#This Row],[Hours]],Table1[[#This Row],[Nominal Hours]])*COUNTIF(Table1[[#This Row],[Autumn Week 1]:[Spring Week 12]],"&gt;0")</f>
        <v>12</v>
      </c>
    </row>
    <row r="160" spans="1:38">
      <c r="A160" s="4" t="s">
        <v>181</v>
      </c>
      <c r="B160" s="2" t="s">
        <v>184</v>
      </c>
      <c r="C160" s="11" t="s">
        <v>5</v>
      </c>
      <c r="D160" s="29">
        <f>INDEX(Table2[CA weight],MATCH(Table1[[#This Row],[Module Code]],Table2[Module Code],0))</f>
        <v>100</v>
      </c>
      <c r="E160" s="29">
        <f>INDEX(Table2[Credits],MATCH(Table1[[#This Row],[Module Code]],Table2[Module Code],0))</f>
        <v>20</v>
      </c>
      <c r="F160" s="11" t="s">
        <v>308</v>
      </c>
      <c r="G160" s="11" t="s">
        <v>229</v>
      </c>
      <c r="H160" s="11" t="s">
        <v>305</v>
      </c>
      <c r="I160" s="11">
        <v>2</v>
      </c>
      <c r="J160" s="11">
        <f>AVERAGE(Table1[[#This Row],[Autumn Week 1]:[Spring Week 12]])*4*Table1[[#This Row],[Credits]]</f>
        <v>4</v>
      </c>
      <c r="K160" s="11"/>
      <c r="L160" s="18"/>
      <c r="M160" s="18"/>
      <c r="N160" s="18">
        <v>0.05</v>
      </c>
      <c r="O160" s="19"/>
      <c r="P160" s="18"/>
      <c r="Q160" s="18"/>
      <c r="R160" s="18"/>
      <c r="S160" s="19"/>
      <c r="T160" s="18"/>
      <c r="U160" s="18"/>
      <c r="V160" s="18"/>
      <c r="W160" s="19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7">
        <f>SUMIF(Table1[[#This Row],[Autumn Week 1]:[Spring Week 12]],"&gt;0",Table1[[#This Row],[Autumn Week 1]:[Spring Week 12]])</f>
        <v>0.05</v>
      </c>
      <c r="AL160" s="27">
        <f>IF(Table1[[#This Row],[Hours]]&gt;0,Table1[[#This Row],[Hours]],Table1[[#This Row],[Nominal Hours]])*COUNTIF(Table1[[#This Row],[Autumn Week 1]:[Spring Week 12]],"&gt;0")</f>
        <v>4</v>
      </c>
    </row>
    <row r="161" spans="1:38">
      <c r="A161" s="4" t="s">
        <v>181</v>
      </c>
      <c r="B161" s="2" t="s">
        <v>184</v>
      </c>
      <c r="C161" s="11" t="s">
        <v>5</v>
      </c>
      <c r="D161" s="29">
        <f>INDEX(Table2[CA weight],MATCH(Table1[[#This Row],[Module Code]],Table2[Module Code],0))</f>
        <v>100</v>
      </c>
      <c r="E161" s="29">
        <f>INDEX(Table2[Credits],MATCH(Table1[[#This Row],[Module Code]],Table2[Module Code],0))</f>
        <v>20</v>
      </c>
      <c r="F161" s="11" t="s">
        <v>309</v>
      </c>
      <c r="G161" s="11" t="s">
        <v>229</v>
      </c>
      <c r="H161" s="11" t="s">
        <v>305</v>
      </c>
      <c r="I161" s="11">
        <v>2</v>
      </c>
      <c r="J161" s="11">
        <f>AVERAGE(Table1[[#This Row],[Autumn Week 1]:[Spring Week 12]])*4*Table1[[#This Row],[Credits]]</f>
        <v>4</v>
      </c>
      <c r="K161" s="11"/>
      <c r="L161" s="18"/>
      <c r="M161" s="18"/>
      <c r="N161" s="18">
        <v>0.05</v>
      </c>
      <c r="O161" s="19"/>
      <c r="P161" s="18"/>
      <c r="Q161" s="18"/>
      <c r="R161" s="18"/>
      <c r="S161" s="19"/>
      <c r="T161" s="18"/>
      <c r="U161" s="18"/>
      <c r="V161" s="18"/>
      <c r="W161" s="19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7">
        <f>SUMIF(Table1[[#This Row],[Autumn Week 1]:[Spring Week 12]],"&gt;0",Table1[[#This Row],[Autumn Week 1]:[Spring Week 12]])</f>
        <v>0.05</v>
      </c>
      <c r="AL161" s="27">
        <f>IF(Table1[[#This Row],[Hours]]&gt;0,Table1[[#This Row],[Hours]],Table1[[#This Row],[Nominal Hours]])*COUNTIF(Table1[[#This Row],[Autumn Week 1]:[Spring Week 12]],"&gt;0")</f>
        <v>4</v>
      </c>
    </row>
    <row r="162" spans="1:38">
      <c r="A162" s="4" t="s">
        <v>181</v>
      </c>
      <c r="B162" s="2" t="s">
        <v>184</v>
      </c>
      <c r="C162" s="11" t="s">
        <v>5</v>
      </c>
      <c r="D162" s="29">
        <f>INDEX(Table2[CA weight],MATCH(Table1[[#This Row],[Module Code]],Table2[Module Code],0))</f>
        <v>100</v>
      </c>
      <c r="E162" s="29">
        <f>INDEX(Table2[Credits],MATCH(Table1[[#This Row],[Module Code]],Table2[Module Code],0))</f>
        <v>20</v>
      </c>
      <c r="F162" s="11" t="s">
        <v>310</v>
      </c>
      <c r="G162" s="11" t="s">
        <v>229</v>
      </c>
      <c r="H162" s="11" t="s">
        <v>311</v>
      </c>
      <c r="I162" s="11">
        <v>3</v>
      </c>
      <c r="J162" s="11">
        <f>AVERAGE(Table1[[#This Row],[Autumn Week 1]:[Spring Week 12]])*4*Table1[[#This Row],[Credits]]</f>
        <v>24</v>
      </c>
      <c r="K162" s="11"/>
      <c r="L162" s="18"/>
      <c r="M162" s="18"/>
      <c r="N162" s="18"/>
      <c r="O162" s="19"/>
      <c r="P162" s="18">
        <v>0.3</v>
      </c>
      <c r="Q162" s="18"/>
      <c r="R162" s="18"/>
      <c r="S162" s="19"/>
      <c r="T162" s="18"/>
      <c r="U162" s="18"/>
      <c r="V162" s="18"/>
      <c r="W162" s="19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7">
        <f>SUMIF(Table1[[#This Row],[Autumn Week 1]:[Spring Week 12]],"&gt;0",Table1[[#This Row],[Autumn Week 1]:[Spring Week 12]])</f>
        <v>0.3</v>
      </c>
      <c r="AL162" s="27">
        <f>IF(Table1[[#This Row],[Hours]]&gt;0,Table1[[#This Row],[Hours]],Table1[[#This Row],[Nominal Hours]])*COUNTIF(Table1[[#This Row],[Autumn Week 1]:[Spring Week 12]],"&gt;0")</f>
        <v>24</v>
      </c>
    </row>
    <row r="163" spans="1:38">
      <c r="A163" s="4" t="s">
        <v>181</v>
      </c>
      <c r="B163" s="2" t="s">
        <v>184</v>
      </c>
      <c r="C163" s="11" t="s">
        <v>123</v>
      </c>
      <c r="D163" s="29">
        <f>INDEX(Table2[CA weight],MATCH(Table1[[#This Row],[Module Code]],Table2[Module Code],0))</f>
        <v>100</v>
      </c>
      <c r="E163" s="29">
        <f>INDEX(Table2[Credits],MATCH(Table1[[#This Row],[Module Code]],Table2[Module Code],0))</f>
        <v>20</v>
      </c>
      <c r="F163" s="11" t="s">
        <v>265</v>
      </c>
      <c r="G163" s="11" t="s">
        <v>229</v>
      </c>
      <c r="H163" s="11" t="s">
        <v>305</v>
      </c>
      <c r="I163" s="11">
        <v>6</v>
      </c>
      <c r="J163" s="11">
        <f>AVERAGE(Table1[[#This Row],[Autumn Week 1]:[Spring Week 12]])*4*Table1[[#This Row],[Credits]]</f>
        <v>8</v>
      </c>
      <c r="K163" s="11">
        <v>4</v>
      </c>
      <c r="L163" s="18"/>
      <c r="M163" s="18"/>
      <c r="N163" s="18"/>
      <c r="O163" s="19"/>
      <c r="P163" s="18"/>
      <c r="Q163" s="18">
        <v>0.1</v>
      </c>
      <c r="R163" s="18"/>
      <c r="S163" s="19"/>
      <c r="T163" s="18"/>
      <c r="U163" s="18"/>
      <c r="V163" s="18"/>
      <c r="W163" s="19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7">
        <f>SUMIF(Table1[[#This Row],[Autumn Week 1]:[Spring Week 12]],"&gt;0",Table1[[#This Row],[Autumn Week 1]:[Spring Week 12]])</f>
        <v>0.1</v>
      </c>
      <c r="AL163" s="27">
        <f>IF(Table1[[#This Row],[Hours]]&gt;0,Table1[[#This Row],[Hours]],Table1[[#This Row],[Nominal Hours]])*COUNTIF(Table1[[#This Row],[Autumn Week 1]:[Spring Week 12]],"&gt;0")</f>
        <v>4</v>
      </c>
    </row>
    <row r="164" spans="1:38">
      <c r="A164" s="4" t="s">
        <v>181</v>
      </c>
      <c r="B164" s="2" t="s">
        <v>184</v>
      </c>
      <c r="C164" s="11" t="s">
        <v>122</v>
      </c>
      <c r="D164" s="29">
        <f>INDEX(Table2[CA weight],MATCH(Table1[[#This Row],[Module Code]],Table2[Module Code],0))</f>
        <v>100</v>
      </c>
      <c r="E164" s="29">
        <f>INDEX(Table2[Credits],MATCH(Table1[[#This Row],[Module Code]],Table2[Module Code],0))</f>
        <v>20</v>
      </c>
      <c r="F164" s="11" t="s">
        <v>312</v>
      </c>
      <c r="G164" s="11" t="s">
        <v>229</v>
      </c>
      <c r="H164" s="11" t="s">
        <v>305</v>
      </c>
      <c r="I164" s="11">
        <v>6</v>
      </c>
      <c r="J164" s="11">
        <f>AVERAGE(Table1[[#This Row],[Autumn Week 1]:[Spring Week 12]])*4*Table1[[#This Row],[Credits]]</f>
        <v>24</v>
      </c>
      <c r="K164" s="11">
        <v>0.5</v>
      </c>
      <c r="L164" s="18"/>
      <c r="M164" s="18"/>
      <c r="N164" s="18"/>
      <c r="O164" s="19"/>
      <c r="P164" s="18"/>
      <c r="Q164" s="18"/>
      <c r="R164" s="18"/>
      <c r="S164" s="19"/>
      <c r="T164" s="18"/>
      <c r="U164" s="18"/>
      <c r="V164" s="18">
        <v>0.3</v>
      </c>
      <c r="W164" s="19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7">
        <f>SUMIF(Table1[[#This Row],[Autumn Week 1]:[Spring Week 12]],"&gt;0",Table1[[#This Row],[Autumn Week 1]:[Spring Week 12]])</f>
        <v>0.3</v>
      </c>
      <c r="AL164" s="27">
        <f>IF(Table1[[#This Row],[Hours]]&gt;0,Table1[[#This Row],[Hours]],Table1[[#This Row],[Nominal Hours]])*COUNTIF(Table1[[#This Row],[Autumn Week 1]:[Spring Week 12]],"&gt;0")</f>
        <v>0.5</v>
      </c>
    </row>
    <row r="165" spans="1:38">
      <c r="A165" s="4" t="s">
        <v>181</v>
      </c>
      <c r="B165" s="2" t="s">
        <v>184</v>
      </c>
      <c r="C165" s="11" t="s">
        <v>313</v>
      </c>
      <c r="D165" s="29">
        <f>INDEX(Table2[CA weight],MATCH(Table1[[#This Row],[Module Code]],Table2[Module Code],0))</f>
        <v>100</v>
      </c>
      <c r="E165" s="29">
        <f>INDEX(Table2[Credits],MATCH(Table1[[#This Row],[Module Code]],Table2[Module Code],0))</f>
        <v>20</v>
      </c>
      <c r="F165" s="11" t="s">
        <v>314</v>
      </c>
      <c r="G165" s="11" t="s">
        <v>229</v>
      </c>
      <c r="H165" s="11" t="s">
        <v>315</v>
      </c>
      <c r="I165" s="11">
        <v>1</v>
      </c>
      <c r="J165" s="11">
        <f>AVERAGE(Table1[[#This Row],[Autumn Week 1]:[Spring Week 12]])*4*Table1[[#This Row],[Credits]]</f>
        <v>16</v>
      </c>
      <c r="K165" s="11">
        <v>1</v>
      </c>
      <c r="L165" s="18"/>
      <c r="M165" s="18"/>
      <c r="N165" s="18"/>
      <c r="O165" s="19"/>
      <c r="P165" s="18"/>
      <c r="Q165" s="18"/>
      <c r="R165" s="18"/>
      <c r="S165" s="19"/>
      <c r="T165" s="18"/>
      <c r="U165" s="18"/>
      <c r="V165" s="18">
        <v>0.2</v>
      </c>
      <c r="W165" s="19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7">
        <f>SUMIF(Table1[[#This Row],[Autumn Week 1]:[Spring Week 12]],"&gt;0",Table1[[#This Row],[Autumn Week 1]:[Spring Week 12]])</f>
        <v>0.2</v>
      </c>
      <c r="AL165" s="27">
        <f>IF(Table1[[#This Row],[Hours]]&gt;0,Table1[[#This Row],[Hours]],Table1[[#This Row],[Nominal Hours]])*COUNTIF(Table1[[#This Row],[Autumn Week 1]:[Spring Week 12]],"&gt;0")</f>
        <v>1</v>
      </c>
    </row>
    <row r="166" spans="1:38">
      <c r="A166" s="4" t="s">
        <v>182</v>
      </c>
      <c r="B166" s="2" t="s">
        <v>185</v>
      </c>
      <c r="C166" s="11" t="s">
        <v>5</v>
      </c>
      <c r="D166" s="29">
        <f>INDEX(Table2[CA weight],MATCH(Table1[[#This Row],[Module Code]],Table2[Module Code],0))</f>
        <v>100</v>
      </c>
      <c r="E166" s="29">
        <f>INDEX(Table2[Credits],MATCH(Table1[[#This Row],[Module Code]],Table2[Module Code],0))</f>
        <v>20</v>
      </c>
      <c r="F166" s="11" t="s">
        <v>316</v>
      </c>
      <c r="G166" s="11" t="s">
        <v>229</v>
      </c>
      <c r="H166" s="11" t="s">
        <v>305</v>
      </c>
      <c r="I166" s="11">
        <v>3</v>
      </c>
      <c r="J166" s="11">
        <f>AVERAGE(Table1[[#This Row],[Autumn Week 1]:[Spring Week 12]])*4*Table1[[#This Row],[Credits]]</f>
        <v>4</v>
      </c>
      <c r="K166" s="11"/>
      <c r="L166" s="18"/>
      <c r="M166" s="18"/>
      <c r="N166" s="18"/>
      <c r="O166" s="19"/>
      <c r="P166" s="18"/>
      <c r="Q166" s="18"/>
      <c r="R166" s="18"/>
      <c r="S166" s="19"/>
      <c r="T166" s="18"/>
      <c r="U166" s="18"/>
      <c r="V166" s="18"/>
      <c r="W166" s="19"/>
      <c r="X166" s="20"/>
      <c r="Y166" s="20"/>
      <c r="Z166" s="20">
        <v>0.05</v>
      </c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7">
        <f>SUMIF(Table1[[#This Row],[Autumn Week 1]:[Spring Week 12]],"&gt;0",Table1[[#This Row],[Autumn Week 1]:[Spring Week 12]])</f>
        <v>0.05</v>
      </c>
      <c r="AL166" s="27">
        <f>IF(Table1[[#This Row],[Hours]]&gt;0,Table1[[#This Row],[Hours]],Table1[[#This Row],[Nominal Hours]])*COUNTIF(Table1[[#This Row],[Autumn Week 1]:[Spring Week 12]],"&gt;0")</f>
        <v>4</v>
      </c>
    </row>
    <row r="167" spans="1:38">
      <c r="A167" s="4" t="s">
        <v>182</v>
      </c>
      <c r="B167" s="2" t="s">
        <v>185</v>
      </c>
      <c r="C167" s="11" t="s">
        <v>123</v>
      </c>
      <c r="D167" s="29">
        <f>INDEX(Table2[CA weight],MATCH(Table1[[#This Row],[Module Code]],Table2[Module Code],0))</f>
        <v>100</v>
      </c>
      <c r="E167" s="29">
        <f>INDEX(Table2[Credits],MATCH(Table1[[#This Row],[Module Code]],Table2[Module Code],0))</f>
        <v>20</v>
      </c>
      <c r="F167" s="11" t="s">
        <v>312</v>
      </c>
      <c r="G167" s="11" t="s">
        <v>229</v>
      </c>
      <c r="H167" s="11" t="s">
        <v>305</v>
      </c>
      <c r="I167" s="11">
        <v>7</v>
      </c>
      <c r="J167" s="11">
        <f>AVERAGE(Table1[[#This Row],[Autumn Week 1]:[Spring Week 12]])*4*Table1[[#This Row],[Credits]]</f>
        <v>16</v>
      </c>
      <c r="K167" s="11">
        <v>0.5</v>
      </c>
      <c r="L167" s="18"/>
      <c r="M167" s="18"/>
      <c r="N167" s="18"/>
      <c r="O167" s="19"/>
      <c r="P167" s="18"/>
      <c r="Q167" s="18"/>
      <c r="R167" s="18"/>
      <c r="S167" s="19"/>
      <c r="T167" s="18"/>
      <c r="U167" s="18"/>
      <c r="V167" s="18"/>
      <c r="W167" s="19"/>
      <c r="X167" s="20"/>
      <c r="Y167" s="20"/>
      <c r="Z167" s="20"/>
      <c r="AA167" s="20"/>
      <c r="AB167" s="20"/>
      <c r="AC167" s="20"/>
      <c r="AD167" s="20">
        <v>0.2</v>
      </c>
      <c r="AE167" s="20"/>
      <c r="AF167" s="20"/>
      <c r="AG167" s="20"/>
      <c r="AH167" s="20"/>
      <c r="AI167" s="20"/>
      <c r="AJ167" s="20"/>
      <c r="AK167" s="27">
        <f>SUMIF(Table1[[#This Row],[Autumn Week 1]:[Spring Week 12]],"&gt;0",Table1[[#This Row],[Autumn Week 1]:[Spring Week 12]])</f>
        <v>0.2</v>
      </c>
      <c r="AL167" s="27">
        <f>IF(Table1[[#This Row],[Hours]]&gt;0,Table1[[#This Row],[Hours]],Table1[[#This Row],[Nominal Hours]])*COUNTIF(Table1[[#This Row],[Autumn Week 1]:[Spring Week 12]],"&gt;0")</f>
        <v>0.5</v>
      </c>
    </row>
    <row r="168" spans="1:38">
      <c r="A168" s="4" t="s">
        <v>182</v>
      </c>
      <c r="B168" s="2" t="s">
        <v>185</v>
      </c>
      <c r="C168" s="11" t="s">
        <v>122</v>
      </c>
      <c r="D168" s="29">
        <f>INDEX(Table2[CA weight],MATCH(Table1[[#This Row],[Module Code]],Table2[Module Code],0))</f>
        <v>100</v>
      </c>
      <c r="E168" s="29">
        <f>INDEX(Table2[Credits],MATCH(Table1[[#This Row],[Module Code]],Table2[Module Code],0))</f>
        <v>20</v>
      </c>
      <c r="F168" s="11" t="s">
        <v>317</v>
      </c>
      <c r="G168" s="11" t="s">
        <v>229</v>
      </c>
      <c r="H168" s="11" t="s">
        <v>305</v>
      </c>
      <c r="I168" s="11">
        <v>6</v>
      </c>
      <c r="J168" s="11">
        <f>AVERAGE(Table1[[#This Row],[Autumn Week 1]:[Spring Week 12]])*4*Table1[[#This Row],[Credits]]</f>
        <v>24</v>
      </c>
      <c r="K168" s="11"/>
      <c r="L168" s="18"/>
      <c r="M168" s="18"/>
      <c r="N168" s="18"/>
      <c r="O168" s="19"/>
      <c r="P168" s="18"/>
      <c r="Q168" s="18"/>
      <c r="R168" s="18"/>
      <c r="S168" s="19"/>
      <c r="T168" s="18"/>
      <c r="U168" s="18"/>
      <c r="V168" s="18"/>
      <c r="W168" s="19"/>
      <c r="X168" s="20"/>
      <c r="Y168" s="20"/>
      <c r="Z168" s="20"/>
      <c r="AA168" s="20"/>
      <c r="AB168" s="20"/>
      <c r="AC168" s="20">
        <v>0.3</v>
      </c>
      <c r="AD168" s="20"/>
      <c r="AE168" s="20"/>
      <c r="AF168" s="20"/>
      <c r="AG168" s="20"/>
      <c r="AH168" s="20"/>
      <c r="AI168" s="20"/>
      <c r="AJ168" s="20"/>
      <c r="AK168" s="27">
        <f>SUMIF(Table1[[#This Row],[Autumn Week 1]:[Spring Week 12]],"&gt;0",Table1[[#This Row],[Autumn Week 1]:[Spring Week 12]])</f>
        <v>0.3</v>
      </c>
      <c r="AL168" s="27">
        <f>IF(Table1[[#This Row],[Hours]]&gt;0,Table1[[#This Row],[Hours]],Table1[[#This Row],[Nominal Hours]])*COUNTIF(Table1[[#This Row],[Autumn Week 1]:[Spring Week 12]],"&gt;0")</f>
        <v>24</v>
      </c>
    </row>
    <row r="169" spans="1:38">
      <c r="A169" s="4" t="s">
        <v>182</v>
      </c>
      <c r="B169" s="2" t="s">
        <v>185</v>
      </c>
      <c r="C169" s="11" t="s">
        <v>123</v>
      </c>
      <c r="D169" s="29">
        <f>INDEX(Table2[CA weight],MATCH(Table1[[#This Row],[Module Code]],Table2[Module Code],0))</f>
        <v>100</v>
      </c>
      <c r="E169" s="29">
        <f>INDEX(Table2[Credits],MATCH(Table1[[#This Row],[Module Code]],Table2[Module Code],0))</f>
        <v>20</v>
      </c>
      <c r="F169" s="11" t="s">
        <v>318</v>
      </c>
      <c r="G169" s="11" t="s">
        <v>229</v>
      </c>
      <c r="H169" s="11" t="s">
        <v>305</v>
      </c>
      <c r="I169" s="11">
        <v>6</v>
      </c>
      <c r="J169" s="11">
        <f>AVERAGE(Table1[[#This Row],[Autumn Week 1]:[Spring Week 12]])*4*Table1[[#This Row],[Credits]]</f>
        <v>36</v>
      </c>
      <c r="K169" s="11"/>
      <c r="L169" s="18"/>
      <c r="M169" s="18"/>
      <c r="N169" s="18"/>
      <c r="O169" s="19"/>
      <c r="P169" s="18"/>
      <c r="Q169" s="18"/>
      <c r="R169" s="18"/>
      <c r="S169" s="19"/>
      <c r="T169" s="18"/>
      <c r="U169" s="18"/>
      <c r="V169" s="18"/>
      <c r="W169" s="19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>
        <v>0.45</v>
      </c>
      <c r="AJ169" s="20"/>
      <c r="AK169" s="27">
        <f>SUMIF(Table1[[#This Row],[Autumn Week 1]:[Spring Week 12]],"&gt;0",Table1[[#This Row],[Autumn Week 1]:[Spring Week 12]])</f>
        <v>0.45</v>
      </c>
      <c r="AL169" s="27">
        <f>IF(Table1[[#This Row],[Hours]]&gt;0,Table1[[#This Row],[Hours]],Table1[[#This Row],[Nominal Hours]])*COUNTIF(Table1[[#This Row],[Autumn Week 1]:[Spring Week 12]],"&gt;0")</f>
        <v>36</v>
      </c>
    </row>
    <row r="170" spans="1:38">
      <c r="A170" s="3" t="s">
        <v>319</v>
      </c>
      <c r="B170" s="28" t="s">
        <v>320</v>
      </c>
      <c r="C170" s="11" t="s">
        <v>5</v>
      </c>
      <c r="D170" s="29">
        <f>INDEX(Table2[CA weight],MATCH(Table1[[#This Row],[Module Code]],Table2[Module Code],0))</f>
        <v>30</v>
      </c>
      <c r="E170" s="29">
        <f>INDEX(Table2[Credits],MATCH(Table1[[#This Row],[Module Code]],Table2[Module Code],0))</f>
        <v>10</v>
      </c>
      <c r="F170" s="11" t="s">
        <v>321</v>
      </c>
      <c r="G170" s="11" t="s">
        <v>229</v>
      </c>
      <c r="H170" s="11" t="s">
        <v>322</v>
      </c>
      <c r="I170" s="11">
        <v>4</v>
      </c>
      <c r="J170" s="11">
        <f>AVERAGE(Table1[[#This Row],[Autumn Week 1]:[Spring Week 12]])*4*Table1[[#This Row],[Credits]]</f>
        <v>4</v>
      </c>
      <c r="K170" s="11"/>
      <c r="L170" s="18"/>
      <c r="M170" s="18"/>
      <c r="N170" s="18"/>
      <c r="O170" s="19"/>
      <c r="P170" s="18"/>
      <c r="Q170" s="18"/>
      <c r="R170" s="18">
        <v>0.1</v>
      </c>
      <c r="S170" s="19"/>
      <c r="T170" s="18"/>
      <c r="U170" s="18"/>
      <c r="V170" s="18"/>
      <c r="W170" s="19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7">
        <f>SUMIF(Table1[[#This Row],[Autumn Week 1]:[Spring Week 12]],"&gt;0",Table1[[#This Row],[Autumn Week 1]:[Spring Week 12]])</f>
        <v>0.1</v>
      </c>
      <c r="AL170" s="27">
        <f>IF(Table1[[#This Row],[Hours]]&gt;0,Table1[[#This Row],[Hours]],Table1[[#This Row],[Nominal Hours]])*COUNTIF(Table1[[#This Row],[Autumn Week 1]:[Spring Week 12]],"&gt;0")</f>
        <v>4</v>
      </c>
    </row>
    <row r="171" spans="1:38">
      <c r="A171" s="3" t="s">
        <v>319</v>
      </c>
      <c r="B171" s="28" t="s">
        <v>320</v>
      </c>
      <c r="C171" s="11" t="s">
        <v>5</v>
      </c>
      <c r="D171" s="29">
        <f>INDEX(Table2[CA weight],MATCH(Table1[[#This Row],[Module Code]],Table2[Module Code],0))</f>
        <v>30</v>
      </c>
      <c r="E171" s="29">
        <f>INDEX(Table2[Credits],MATCH(Table1[[#This Row],[Module Code]],Table2[Module Code],0))</f>
        <v>10</v>
      </c>
      <c r="F171" s="11" t="s">
        <v>323</v>
      </c>
      <c r="G171" s="11" t="s">
        <v>229</v>
      </c>
      <c r="H171" s="11" t="s">
        <v>322</v>
      </c>
      <c r="I171" s="11">
        <v>6</v>
      </c>
      <c r="J171" s="11">
        <f>AVERAGE(Table1[[#This Row],[Autumn Week 1]:[Spring Week 12]])*4*Table1[[#This Row],[Credits]]</f>
        <v>8</v>
      </c>
      <c r="K171" s="11"/>
      <c r="L171" s="18"/>
      <c r="M171" s="18"/>
      <c r="N171" s="18"/>
      <c r="O171" s="19"/>
      <c r="P171" s="18"/>
      <c r="Q171" s="18"/>
      <c r="R171" s="18"/>
      <c r="S171" s="19"/>
      <c r="T171" s="18"/>
      <c r="U171" s="18"/>
      <c r="V171" s="18"/>
      <c r="W171" s="19">
        <v>0.2</v>
      </c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7">
        <f>SUMIF(Table1[[#This Row],[Autumn Week 1]:[Spring Week 12]],"&gt;0",Table1[[#This Row],[Autumn Week 1]:[Spring Week 12]])</f>
        <v>0.2</v>
      </c>
      <c r="AL171" s="27">
        <f>IF(Table1[[#This Row],[Hours]]&gt;0,Table1[[#This Row],[Hours]],Table1[[#This Row],[Nominal Hours]])*COUNTIF(Table1[[#This Row],[Autumn Week 1]:[Spring Week 12]],"&gt;0")</f>
        <v>8</v>
      </c>
    </row>
    <row r="172" spans="1:38">
      <c r="A172" s="3" t="s">
        <v>324</v>
      </c>
      <c r="B172" s="28" t="s">
        <v>325</v>
      </c>
      <c r="C172" s="11" t="s">
        <v>5</v>
      </c>
      <c r="D172" s="29">
        <f>INDEX(Table2[CA weight],MATCH(Table1[[#This Row],[Module Code]],Table2[Module Code],0))</f>
        <v>100</v>
      </c>
      <c r="E172" s="29">
        <f>INDEX(Table2[Credits],MATCH(Table1[[#This Row],[Module Code]],Table2[Module Code],0))</f>
        <v>10</v>
      </c>
      <c r="F172" s="11" t="s">
        <v>326</v>
      </c>
      <c r="G172" s="11" t="s">
        <v>229</v>
      </c>
      <c r="H172" s="11" t="s">
        <v>327</v>
      </c>
      <c r="I172" s="11">
        <v>3</v>
      </c>
      <c r="J172" s="11">
        <f>AVERAGE(Table1[[#This Row],[Autumn Week 1]:[Spring Week 12]])*4*Table1[[#This Row],[Credits]]</f>
        <v>8</v>
      </c>
      <c r="K172" s="11"/>
      <c r="L172" s="18"/>
      <c r="M172" s="18"/>
      <c r="N172" s="18"/>
      <c r="O172" s="19"/>
      <c r="P172" s="18"/>
      <c r="Q172" s="18"/>
      <c r="R172" s="18"/>
      <c r="S172" s="19"/>
      <c r="T172" s="18"/>
      <c r="U172" s="18"/>
      <c r="V172" s="18"/>
      <c r="W172" s="19"/>
      <c r="X172" s="20"/>
      <c r="Y172" s="20"/>
      <c r="Z172" s="20"/>
      <c r="AA172" s="20">
        <v>0.2</v>
      </c>
      <c r="AB172" s="20"/>
      <c r="AC172" s="20"/>
      <c r="AD172" s="20"/>
      <c r="AE172" s="20"/>
      <c r="AF172" s="20"/>
      <c r="AG172" s="20"/>
      <c r="AH172" s="20"/>
      <c r="AI172" s="20"/>
      <c r="AJ172" s="20"/>
      <c r="AK172" s="27">
        <f>SUMIF(Table1[[#This Row],[Autumn Week 1]:[Spring Week 12]],"&gt;0",Table1[[#This Row],[Autumn Week 1]:[Spring Week 12]])</f>
        <v>0.2</v>
      </c>
      <c r="AL172" s="27">
        <f>IF(Table1[[#This Row],[Hours]]&gt;0,Table1[[#This Row],[Hours]],Table1[[#This Row],[Nominal Hours]])*COUNTIF(Table1[[#This Row],[Autumn Week 1]:[Spring Week 12]],"&gt;0")</f>
        <v>8</v>
      </c>
    </row>
    <row r="173" spans="1:38">
      <c r="A173" s="3" t="s">
        <v>324</v>
      </c>
      <c r="B173" s="28" t="s">
        <v>325</v>
      </c>
      <c r="C173" s="11" t="s">
        <v>5</v>
      </c>
      <c r="D173" s="29">
        <f>INDEX(Table2[CA weight],MATCH(Table1[[#This Row],[Module Code]],Table2[Module Code],0))</f>
        <v>100</v>
      </c>
      <c r="E173" s="29">
        <f>INDEX(Table2[Credits],MATCH(Table1[[#This Row],[Module Code]],Table2[Module Code],0))</f>
        <v>10</v>
      </c>
      <c r="F173" s="11" t="s">
        <v>328</v>
      </c>
      <c r="G173" s="11" t="s">
        <v>229</v>
      </c>
      <c r="H173" s="11" t="s">
        <v>327</v>
      </c>
      <c r="I173" s="11">
        <v>8</v>
      </c>
      <c r="J173" s="11">
        <f>AVERAGE(Table1[[#This Row],[Autumn Week 1]:[Spring Week 12]])*4*Table1[[#This Row],[Credits]]</f>
        <v>20</v>
      </c>
      <c r="K173" s="11"/>
      <c r="L173" s="18"/>
      <c r="M173" s="18"/>
      <c r="N173" s="18"/>
      <c r="O173" s="19"/>
      <c r="P173" s="18"/>
      <c r="Q173" s="18"/>
      <c r="R173" s="18"/>
      <c r="S173" s="19"/>
      <c r="T173" s="18"/>
      <c r="U173" s="18"/>
      <c r="V173" s="18"/>
      <c r="W173" s="19"/>
      <c r="X173" s="20"/>
      <c r="Y173" s="20"/>
      <c r="Z173" s="20"/>
      <c r="AA173" s="20"/>
      <c r="AB173" s="20"/>
      <c r="AC173" s="20"/>
      <c r="AD173" s="20"/>
      <c r="AE173" s="20"/>
      <c r="AF173" s="20"/>
      <c r="AG173" s="20"/>
      <c r="AH173" s="20"/>
      <c r="AI173" s="20">
        <v>0.5</v>
      </c>
      <c r="AJ173" s="20"/>
      <c r="AK173" s="27">
        <f>SUMIF(Table1[[#This Row],[Autumn Week 1]:[Spring Week 12]],"&gt;0",Table1[[#This Row],[Autumn Week 1]:[Spring Week 12]])</f>
        <v>0.5</v>
      </c>
      <c r="AL173" s="27">
        <f>IF(Table1[[#This Row],[Hours]]&gt;0,Table1[[#This Row],[Hours]],Table1[[#This Row],[Nominal Hours]])*COUNTIF(Table1[[#This Row],[Autumn Week 1]:[Spring Week 12]],"&gt;0")</f>
        <v>20</v>
      </c>
    </row>
    <row r="174" spans="1:38">
      <c r="A174" s="3" t="s">
        <v>324</v>
      </c>
      <c r="B174" s="28" t="s">
        <v>325</v>
      </c>
      <c r="C174" s="11" t="s">
        <v>5</v>
      </c>
      <c r="D174" s="29">
        <f>INDEX(Table2[CA weight],MATCH(Table1[[#This Row],[Module Code]],Table2[Module Code],0))</f>
        <v>100</v>
      </c>
      <c r="E174" s="29">
        <f>INDEX(Table2[Credits],MATCH(Table1[[#This Row],[Module Code]],Table2[Module Code],0))</f>
        <v>10</v>
      </c>
      <c r="F174" s="11" t="s">
        <v>329</v>
      </c>
      <c r="G174" s="11" t="s">
        <v>229</v>
      </c>
      <c r="H174" s="11" t="s">
        <v>327</v>
      </c>
      <c r="I174" s="11">
        <v>3</v>
      </c>
      <c r="J174" s="11">
        <f>AVERAGE(Table1[[#This Row],[Autumn Week 1]:[Spring Week 12]])*4*Table1[[#This Row],[Credits]]</f>
        <v>12</v>
      </c>
      <c r="K174" s="11"/>
      <c r="L174" s="18"/>
      <c r="M174" s="18"/>
      <c r="N174" s="18"/>
      <c r="O174" s="19"/>
      <c r="P174" s="18"/>
      <c r="Q174" s="18"/>
      <c r="R174" s="18"/>
      <c r="S174" s="19"/>
      <c r="T174" s="18"/>
      <c r="U174" s="18"/>
      <c r="V174" s="18"/>
      <c r="W174" s="19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>
        <v>0.3</v>
      </c>
      <c r="AJ174" s="20"/>
      <c r="AK174" s="27">
        <f>SUMIF(Table1[[#This Row],[Autumn Week 1]:[Spring Week 12]],"&gt;0",Table1[[#This Row],[Autumn Week 1]:[Spring Week 12]])</f>
        <v>0.3</v>
      </c>
      <c r="AL174" s="27">
        <f>IF(Table1[[#This Row],[Hours]]&gt;0,Table1[[#This Row],[Hours]],Table1[[#This Row],[Nominal Hours]])*COUNTIF(Table1[[#This Row],[Autumn Week 1]:[Spring Week 12]],"&gt;0")</f>
        <v>12</v>
      </c>
    </row>
    <row r="175" spans="1:38">
      <c r="A175" s="3" t="s">
        <v>330</v>
      </c>
      <c r="B175" s="28" t="s">
        <v>331</v>
      </c>
      <c r="C175" s="11" t="s">
        <v>5</v>
      </c>
      <c r="D175" s="29">
        <f>INDEX(Table2[CA weight],MATCH(Table1[[#This Row],[Module Code]],Table2[Module Code],0))</f>
        <v>100</v>
      </c>
      <c r="E175" s="29">
        <f>INDEX(Table2[Credits],MATCH(Table1[[#This Row],[Module Code]],Table2[Module Code],0))</f>
        <v>20</v>
      </c>
      <c r="F175" s="11" t="s">
        <v>332</v>
      </c>
      <c r="G175" s="11" t="s">
        <v>229</v>
      </c>
      <c r="H175" s="11" t="s">
        <v>327</v>
      </c>
      <c r="I175" s="11">
        <v>4</v>
      </c>
      <c r="J175" s="11">
        <f>AVERAGE(Table1[[#This Row],[Autumn Week 1]:[Spring Week 12]])*4*Table1[[#This Row],[Credits]]</f>
        <v>40</v>
      </c>
      <c r="K175" s="11">
        <v>20</v>
      </c>
      <c r="L175" s="18"/>
      <c r="M175" s="18"/>
      <c r="N175" s="18"/>
      <c r="O175" s="19"/>
      <c r="P175" s="18"/>
      <c r="Q175" s="18"/>
      <c r="R175" s="18"/>
      <c r="S175" s="19"/>
      <c r="T175" s="18"/>
      <c r="U175" s="18"/>
      <c r="V175" s="18"/>
      <c r="W175" s="19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>
        <v>0.5</v>
      </c>
      <c r="AJ175" s="20"/>
      <c r="AK175" s="27">
        <f>SUMIF(Table1[[#This Row],[Autumn Week 1]:[Spring Week 12]],"&gt;0",Table1[[#This Row],[Autumn Week 1]:[Spring Week 12]])</f>
        <v>0.5</v>
      </c>
      <c r="AL175" s="27">
        <f>IF(Table1[[#This Row],[Hours]]&gt;0,Table1[[#This Row],[Hours]],Table1[[#This Row],[Nominal Hours]])*COUNTIF(Table1[[#This Row],[Autumn Week 1]:[Spring Week 12]],"&gt;0")</f>
        <v>20</v>
      </c>
    </row>
    <row r="176" spans="1:38">
      <c r="A176" s="3" t="s">
        <v>330</v>
      </c>
      <c r="B176" s="28" t="s">
        <v>331</v>
      </c>
      <c r="C176" s="11" t="s">
        <v>4</v>
      </c>
      <c r="D176" s="29">
        <f>INDEX(Table2[CA weight],MATCH(Table1[[#This Row],[Module Code]],Table2[Module Code],0))</f>
        <v>100</v>
      </c>
      <c r="E176" s="29">
        <f>INDEX(Table2[Credits],MATCH(Table1[[#This Row],[Module Code]],Table2[Module Code],0))</f>
        <v>20</v>
      </c>
      <c r="F176" s="11" t="s">
        <v>333</v>
      </c>
      <c r="G176" s="11" t="s">
        <v>229</v>
      </c>
      <c r="H176" s="11" t="s">
        <v>315</v>
      </c>
      <c r="I176" s="11">
        <v>1</v>
      </c>
      <c r="J176" s="11">
        <f>AVERAGE(Table1[[#This Row],[Autumn Week 1]:[Spring Week 12]])*4*Table1[[#This Row],[Credits]]</f>
        <v>40</v>
      </c>
      <c r="K176" s="11">
        <v>1</v>
      </c>
      <c r="L176" s="18"/>
      <c r="M176" s="18"/>
      <c r="N176" s="18"/>
      <c r="O176" s="19"/>
      <c r="P176" s="18"/>
      <c r="Q176" s="18"/>
      <c r="R176" s="18"/>
      <c r="S176" s="19"/>
      <c r="T176" s="18"/>
      <c r="U176" s="18"/>
      <c r="V176" s="18"/>
      <c r="W176" s="19"/>
      <c r="X176" s="20"/>
      <c r="Y176" s="20"/>
      <c r="Z176" s="20"/>
      <c r="AA176" s="20"/>
      <c r="AB176" s="20"/>
      <c r="AC176" s="20"/>
      <c r="AD176" s="20">
        <v>0.5</v>
      </c>
      <c r="AE176" s="20"/>
      <c r="AF176" s="20"/>
      <c r="AG176" s="20"/>
      <c r="AH176" s="20"/>
      <c r="AI176" s="20"/>
      <c r="AJ176" s="20"/>
      <c r="AK176" s="27">
        <f>SUMIF(Table1[[#This Row],[Autumn Week 1]:[Spring Week 12]],"&gt;0",Table1[[#This Row],[Autumn Week 1]:[Spring Week 12]])</f>
        <v>0.5</v>
      </c>
      <c r="AL176" s="27">
        <f>IF(Table1[[#This Row],[Hours]]&gt;0,Table1[[#This Row],[Hours]],Table1[[#This Row],[Nominal Hours]])*COUNTIF(Table1[[#This Row],[Autumn Week 1]:[Spring Week 12]],"&gt;0")</f>
        <v>1</v>
      </c>
    </row>
    <row r="177" spans="1:38">
      <c r="A177" s="3" t="s">
        <v>334</v>
      </c>
      <c r="B177" s="28" t="s">
        <v>335</v>
      </c>
      <c r="C177" s="11" t="s">
        <v>5</v>
      </c>
      <c r="D177" s="29">
        <f>INDEX(Table2[CA weight],MATCH(Table1[[#This Row],[Module Code]],Table2[Module Code],0))</f>
        <v>50</v>
      </c>
      <c r="E177" s="29">
        <f>INDEX(Table2[Credits],MATCH(Table1[[#This Row],[Module Code]],Table2[Module Code],0))</f>
        <v>20</v>
      </c>
      <c r="F177" s="11" t="s">
        <v>336</v>
      </c>
      <c r="G177" s="11" t="s">
        <v>229</v>
      </c>
      <c r="H177" s="11" t="s">
        <v>327</v>
      </c>
      <c r="I177" s="11">
        <v>2</v>
      </c>
      <c r="J177" s="11">
        <f>AVERAGE(Table1[[#This Row],[Autumn Week 1]:[Spring Week 12]])*4*Table1[[#This Row],[Credits]]</f>
        <v>40</v>
      </c>
      <c r="K177" s="11">
        <v>8</v>
      </c>
      <c r="L177" s="18"/>
      <c r="M177" s="18"/>
      <c r="N177" s="18"/>
      <c r="O177" s="19"/>
      <c r="P177" s="18"/>
      <c r="Q177" s="18"/>
      <c r="R177" s="18"/>
      <c r="S177" s="19"/>
      <c r="T177" s="18"/>
      <c r="U177" s="18"/>
      <c r="V177" s="18">
        <v>0.5</v>
      </c>
      <c r="W177" s="19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7">
        <f>SUMIF(Table1[[#This Row],[Autumn Week 1]:[Spring Week 12]],"&gt;0",Table1[[#This Row],[Autumn Week 1]:[Spring Week 12]])</f>
        <v>0.5</v>
      </c>
      <c r="AL177" s="27">
        <f>IF(Table1[[#This Row],[Hours]]&gt;0,Table1[[#This Row],[Hours]],Table1[[#This Row],[Nominal Hours]])*COUNTIF(Table1[[#This Row],[Autumn Week 1]:[Spring Week 12]],"&gt;0")</f>
        <v>8</v>
      </c>
    </row>
  </sheetData>
  <phoneticPr fontId="1" type="noConversion"/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2654D-1732-43E5-85EC-021407B07CE5}">
  <dimension ref="A1:AE141"/>
  <sheetViews>
    <sheetView workbookViewId="0">
      <pane xSplit="2" ySplit="1" topLeftCell="I11" activePane="bottomRight" state="frozen"/>
      <selection pane="topRight" activeCell="C1" sqref="C1"/>
      <selection pane="bottomLeft" activeCell="A2" sqref="A2"/>
      <selection pane="bottomRight" activeCell="G55" sqref="G55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10.7265625" style="10" customWidth="1"/>
    <col min="7" max="15" width="16.26953125" style="14" bestFit="1" customWidth="1"/>
    <col min="16" max="18" width="17.26953125" style="14" bestFit="1" customWidth="1"/>
    <col min="19" max="30" width="8.7265625" style="16"/>
  </cols>
  <sheetData>
    <row r="1" spans="1:31">
      <c r="A1" s="5" t="s">
        <v>0</v>
      </c>
      <c r="B1" s="5" t="s">
        <v>6</v>
      </c>
      <c r="C1" s="10" t="s">
        <v>213</v>
      </c>
      <c r="D1" s="10" t="s">
        <v>140</v>
      </c>
      <c r="E1" s="10" t="s">
        <v>146</v>
      </c>
      <c r="F1" s="10" t="s">
        <v>200</v>
      </c>
      <c r="G1" s="14" t="s">
        <v>25</v>
      </c>
      <c r="H1" s="14" t="s">
        <v>26</v>
      </c>
      <c r="I1" s="14" t="s">
        <v>27</v>
      </c>
      <c r="J1" s="14" t="s">
        <v>28</v>
      </c>
      <c r="K1" s="14" t="s">
        <v>29</v>
      </c>
      <c r="L1" s="14" t="s">
        <v>30</v>
      </c>
      <c r="M1" s="14" t="s">
        <v>31</v>
      </c>
      <c r="N1" s="14" t="s">
        <v>32</v>
      </c>
      <c r="O1" s="14" t="s">
        <v>33</v>
      </c>
      <c r="P1" s="14" t="s">
        <v>34</v>
      </c>
      <c r="Q1" s="14" t="s">
        <v>35</v>
      </c>
      <c r="R1" s="14" t="s">
        <v>36</v>
      </c>
      <c r="S1" s="15" t="s">
        <v>163</v>
      </c>
      <c r="T1" s="15" t="s">
        <v>164</v>
      </c>
      <c r="U1" s="15" t="s">
        <v>165</v>
      </c>
      <c r="V1" s="15" t="s">
        <v>166</v>
      </c>
      <c r="W1" s="15" t="s">
        <v>167</v>
      </c>
      <c r="X1" s="15" t="s">
        <v>168</v>
      </c>
      <c r="Y1" s="15" t="s">
        <v>169</v>
      </c>
      <c r="Z1" s="15" t="s">
        <v>170</v>
      </c>
      <c r="AA1" s="15" t="s">
        <v>171</v>
      </c>
      <c r="AB1" s="15" t="s">
        <v>172</v>
      </c>
      <c r="AC1" s="15" t="s">
        <v>173</v>
      </c>
      <c r="AD1" s="15" t="s">
        <v>174</v>
      </c>
      <c r="AE1" s="17" t="s">
        <v>224</v>
      </c>
    </row>
    <row r="2" spans="1:31">
      <c r="A2" s="4" t="s">
        <v>55</v>
      </c>
      <c r="B2" s="2" t="s">
        <v>54</v>
      </c>
      <c r="C2" s="11" t="s">
        <v>125</v>
      </c>
      <c r="D2" s="29">
        <f>INDEX(Table2[Credits],MATCH(Table14[[#This Row],[Module Code]],Table2[Module Code],0))</f>
        <v>20</v>
      </c>
      <c r="E2" s="29" t="str">
        <f>INDEX(Table2[Semester],MATCH(Table14[[#This Row],[Module Code]],Table2[Module Code],0))</f>
        <v>SEM1</v>
      </c>
      <c r="F2" s="11">
        <f>INDEX(Table2[Contact Time],MATCH(Table14[[#This Row],[Module Code]],Table2[Module Code],0))</f>
        <v>4</v>
      </c>
      <c r="G2" s="31">
        <v>4</v>
      </c>
      <c r="H2" s="31">
        <v>4</v>
      </c>
      <c r="I2" s="31">
        <v>4</v>
      </c>
      <c r="J2" s="31">
        <v>4</v>
      </c>
      <c r="K2" s="31">
        <v>4</v>
      </c>
      <c r="L2" s="31">
        <v>4</v>
      </c>
      <c r="M2" s="31">
        <v>4</v>
      </c>
      <c r="N2" s="31">
        <v>4</v>
      </c>
      <c r="O2" s="31">
        <v>4</v>
      </c>
      <c r="P2" s="31">
        <v>4</v>
      </c>
      <c r="Q2" s="31">
        <v>4</v>
      </c>
      <c r="R2" s="32"/>
      <c r="S2" s="33" t="s">
        <v>214</v>
      </c>
      <c r="T2" s="33" t="s">
        <v>214</v>
      </c>
      <c r="U2" s="33" t="s">
        <v>214</v>
      </c>
      <c r="V2" s="33" t="s">
        <v>214</v>
      </c>
      <c r="W2" s="33" t="s">
        <v>214</v>
      </c>
      <c r="X2" s="33" t="s">
        <v>214</v>
      </c>
      <c r="Y2" s="33" t="s">
        <v>214</v>
      </c>
      <c r="Z2" s="33" t="s">
        <v>214</v>
      </c>
      <c r="AA2" s="33" t="s">
        <v>214</v>
      </c>
      <c r="AB2" s="33" t="s">
        <v>214</v>
      </c>
      <c r="AC2" s="33" t="s">
        <v>214</v>
      </c>
      <c r="AD2" s="33"/>
      <c r="AE2" s="37">
        <f>SUM(Table14[[#This Row],[Autumn Week 1]:[Spring Week 12]])</f>
        <v>44</v>
      </c>
    </row>
    <row r="3" spans="1:31">
      <c r="A3" s="4" t="s">
        <v>252</v>
      </c>
      <c r="B3" s="2" t="s">
        <v>253</v>
      </c>
      <c r="C3" s="11" t="s">
        <v>218</v>
      </c>
      <c r="D3" s="29">
        <f>INDEX(Table2[Credits],MATCH(Table14[[#This Row],[Module Code]],Table2[Module Code],0))</f>
        <v>20</v>
      </c>
      <c r="E3" s="29" t="str">
        <f>INDEX(Table2[Semester],MATCH(Table14[[#This Row],[Module Code]],Table2[Module Code],0))</f>
        <v>SEM1</v>
      </c>
      <c r="F3" s="11">
        <f>INDEX(Table2[Contact Time],MATCH(Table14[[#This Row],[Module Code]],Table2[Module Code],0))</f>
        <v>4</v>
      </c>
      <c r="G3" s="31">
        <v>4</v>
      </c>
      <c r="H3" s="31">
        <v>4</v>
      </c>
      <c r="I3" s="31">
        <v>4</v>
      </c>
      <c r="J3" s="31">
        <v>4</v>
      </c>
      <c r="K3" s="31">
        <v>4</v>
      </c>
      <c r="L3" s="31">
        <v>4</v>
      </c>
      <c r="M3" s="31">
        <v>4</v>
      </c>
      <c r="N3" s="31">
        <v>4</v>
      </c>
      <c r="O3" s="31">
        <v>4</v>
      </c>
      <c r="P3" s="31">
        <v>4</v>
      </c>
      <c r="Q3" s="31">
        <v>4</v>
      </c>
      <c r="R3" s="32"/>
      <c r="S3" s="33" t="s">
        <v>214</v>
      </c>
      <c r="T3" s="33" t="s">
        <v>214</v>
      </c>
      <c r="U3" s="33" t="s">
        <v>214</v>
      </c>
      <c r="V3" s="33" t="s">
        <v>214</v>
      </c>
      <c r="W3" s="33" t="s">
        <v>214</v>
      </c>
      <c r="X3" s="33" t="s">
        <v>214</v>
      </c>
      <c r="Y3" s="33" t="s">
        <v>214</v>
      </c>
      <c r="Z3" s="33" t="s">
        <v>214</v>
      </c>
      <c r="AA3" s="33" t="s">
        <v>214</v>
      </c>
      <c r="AB3" s="33" t="s">
        <v>214</v>
      </c>
      <c r="AC3" s="33" t="s">
        <v>214</v>
      </c>
      <c r="AD3" s="33"/>
      <c r="AE3" s="37">
        <f>SUM(Table14[[#This Row],[Autumn Week 1]:[Spring Week 12]])</f>
        <v>44</v>
      </c>
    </row>
    <row r="4" spans="1:31">
      <c r="A4" s="4" t="s">
        <v>255</v>
      </c>
      <c r="B4" s="2" t="s">
        <v>256</v>
      </c>
      <c r="C4" s="11" t="s">
        <v>218</v>
      </c>
      <c r="D4" s="29">
        <f>INDEX(Table2[Credits],MATCH(Table14[[#This Row],[Module Code]],Table2[Module Code],0))</f>
        <v>10</v>
      </c>
      <c r="E4" s="29" t="str">
        <f>INDEX(Table2[Semester],MATCH(Table14[[#This Row],[Module Code]],Table2[Module Code],0))</f>
        <v>SEM1</v>
      </c>
      <c r="F4" s="11">
        <f>INDEX(Table2[Contact Time],MATCH(Table14[[#This Row],[Module Code]],Table2[Module Code],0))</f>
        <v>2</v>
      </c>
      <c r="G4" s="31">
        <v>2</v>
      </c>
      <c r="H4" s="31">
        <v>2</v>
      </c>
      <c r="I4" s="31">
        <v>2</v>
      </c>
      <c r="J4" s="31">
        <v>2</v>
      </c>
      <c r="K4" s="31">
        <v>2</v>
      </c>
      <c r="L4" s="31">
        <v>2</v>
      </c>
      <c r="M4" s="31">
        <v>2</v>
      </c>
      <c r="N4" s="31">
        <v>2</v>
      </c>
      <c r="O4" s="31">
        <v>2</v>
      </c>
      <c r="P4" s="31">
        <v>2</v>
      </c>
      <c r="Q4" s="31">
        <v>2</v>
      </c>
      <c r="R4" s="32"/>
      <c r="S4" s="33" t="s">
        <v>214</v>
      </c>
      <c r="T4" s="33" t="s">
        <v>214</v>
      </c>
      <c r="U4" s="33" t="s">
        <v>214</v>
      </c>
      <c r="V4" s="33" t="s">
        <v>214</v>
      </c>
      <c r="W4" s="33" t="s">
        <v>214</v>
      </c>
      <c r="X4" s="33" t="s">
        <v>214</v>
      </c>
      <c r="Y4" s="33" t="s">
        <v>214</v>
      </c>
      <c r="Z4" s="33" t="s">
        <v>214</v>
      </c>
      <c r="AA4" s="33" t="s">
        <v>214</v>
      </c>
      <c r="AB4" s="33" t="s">
        <v>214</v>
      </c>
      <c r="AC4" s="33" t="s">
        <v>214</v>
      </c>
      <c r="AD4" s="33"/>
      <c r="AE4" s="37">
        <f>SUM(Table14[[#This Row],[Autumn Week 1]:[Spring Week 12]])</f>
        <v>22</v>
      </c>
    </row>
    <row r="5" spans="1:31">
      <c r="A5" s="4" t="s">
        <v>59</v>
      </c>
      <c r="B5" s="2" t="s">
        <v>58</v>
      </c>
      <c r="C5" s="11" t="s">
        <v>219</v>
      </c>
      <c r="D5" s="29">
        <f>INDEX(Table2[Credits],MATCH(Table14[[#This Row],[Module Code]],Table2[Module Code],0))</f>
        <v>20</v>
      </c>
      <c r="E5" s="29" t="str">
        <f>INDEX(Table2[Semester],MATCH(Table14[[#This Row],[Module Code]],Table2[Module Code],0))</f>
        <v>SEMD</v>
      </c>
      <c r="F5" s="11">
        <f>INDEX(Table2[Contact Time],MATCH(Table14[[#This Row],[Module Code]],Table2[Module Code],0))</f>
        <v>4</v>
      </c>
      <c r="G5" s="31">
        <v>4</v>
      </c>
      <c r="H5" s="31">
        <v>4</v>
      </c>
      <c r="I5" s="31">
        <v>4</v>
      </c>
      <c r="J5" s="31">
        <v>4</v>
      </c>
      <c r="K5" s="31">
        <v>4</v>
      </c>
      <c r="L5" s="31">
        <v>4</v>
      </c>
      <c r="M5" s="31">
        <v>4</v>
      </c>
      <c r="N5" s="31">
        <v>4</v>
      </c>
      <c r="O5" s="31">
        <v>4</v>
      </c>
      <c r="P5" s="31">
        <v>2</v>
      </c>
      <c r="Q5" s="31">
        <v>2</v>
      </c>
      <c r="R5" s="32"/>
      <c r="S5" s="33">
        <v>4</v>
      </c>
      <c r="T5" s="33">
        <v>4</v>
      </c>
      <c r="U5" s="33">
        <v>4</v>
      </c>
      <c r="V5" s="33">
        <v>4</v>
      </c>
      <c r="W5" s="33">
        <v>4</v>
      </c>
      <c r="X5" s="33">
        <v>4</v>
      </c>
      <c r="Y5" s="33">
        <v>4</v>
      </c>
      <c r="Z5" s="33">
        <v>4</v>
      </c>
      <c r="AA5" s="33">
        <v>4</v>
      </c>
      <c r="AB5" s="33">
        <v>4</v>
      </c>
      <c r="AC5" s="33">
        <v>4</v>
      </c>
      <c r="AD5" s="33"/>
      <c r="AE5" s="37">
        <f>SUM(Table14[[#This Row],[Autumn Week 1]:[Spring Week 12]])</f>
        <v>84</v>
      </c>
    </row>
    <row r="6" spans="1:31">
      <c r="A6" s="3" t="s">
        <v>81</v>
      </c>
      <c r="B6" s="3" t="s">
        <v>76</v>
      </c>
      <c r="C6" s="12" t="s">
        <v>218</v>
      </c>
      <c r="D6" s="29">
        <f>INDEX(Table2[Credits],MATCH(Table14[[#This Row],[Module Code]],Table2[Module Code],0))</f>
        <v>20</v>
      </c>
      <c r="E6" s="29" t="str">
        <f>INDEX(Table2[Semester],MATCH(Table14[[#This Row],[Module Code]],Table2[Module Code],0))</f>
        <v>SEM2</v>
      </c>
      <c r="F6" s="11">
        <f>INDEX(Table2[Contact Time],MATCH(Table14[[#This Row],[Module Code]],Table2[Module Code],0))</f>
        <v>4</v>
      </c>
      <c r="G6" s="31" t="s">
        <v>214</v>
      </c>
      <c r="H6" s="31" t="s">
        <v>214</v>
      </c>
      <c r="I6" s="31" t="s">
        <v>214</v>
      </c>
      <c r="J6" s="31" t="s">
        <v>214</v>
      </c>
      <c r="K6" s="31" t="s">
        <v>214</v>
      </c>
      <c r="L6" s="31" t="s">
        <v>214</v>
      </c>
      <c r="M6" s="31" t="s">
        <v>214</v>
      </c>
      <c r="N6" s="31" t="s">
        <v>214</v>
      </c>
      <c r="O6" s="31" t="s">
        <v>214</v>
      </c>
      <c r="P6" s="31" t="s">
        <v>214</v>
      </c>
      <c r="Q6" s="31" t="s">
        <v>214</v>
      </c>
      <c r="R6" s="32"/>
      <c r="S6" s="33">
        <v>4</v>
      </c>
      <c r="T6" s="33">
        <v>4</v>
      </c>
      <c r="U6" s="33">
        <v>4</v>
      </c>
      <c r="V6" s="33">
        <v>4</v>
      </c>
      <c r="W6" s="33">
        <v>4</v>
      </c>
      <c r="X6" s="33">
        <v>4</v>
      </c>
      <c r="Y6" s="33">
        <v>4</v>
      </c>
      <c r="Z6" s="33">
        <v>4</v>
      </c>
      <c r="AA6" s="33">
        <v>4</v>
      </c>
      <c r="AB6" s="33">
        <v>4</v>
      </c>
      <c r="AC6" s="33">
        <v>4</v>
      </c>
      <c r="AD6" s="33"/>
      <c r="AE6" s="37">
        <f>SUM(Table14[[#This Row],[Autumn Week 1]:[Spring Week 12]])</f>
        <v>44</v>
      </c>
    </row>
    <row r="7" spans="1:31">
      <c r="A7" s="3" t="s">
        <v>187</v>
      </c>
      <c r="B7" s="3" t="s">
        <v>77</v>
      </c>
      <c r="C7" s="11" t="s">
        <v>219</v>
      </c>
      <c r="D7" s="29">
        <f>INDEX(Table2[Credits],MATCH(Table14[[#This Row],[Module Code]],Table2[Module Code],0))</f>
        <v>10</v>
      </c>
      <c r="E7" s="29" t="str">
        <f>INDEX(Table2[Semester],MATCH(Table14[[#This Row],[Module Code]],Table2[Module Code],0))</f>
        <v>SEM2</v>
      </c>
      <c r="F7" s="11">
        <f>INDEX(Table2[Contact Time],MATCH(Table14[[#This Row],[Module Code]],Table2[Module Code],0))</f>
        <v>3</v>
      </c>
      <c r="G7" s="31" t="s">
        <v>214</v>
      </c>
      <c r="H7" s="31" t="s">
        <v>214</v>
      </c>
      <c r="I7" s="31" t="s">
        <v>214</v>
      </c>
      <c r="J7" s="31" t="s">
        <v>214</v>
      </c>
      <c r="K7" s="31" t="s">
        <v>214</v>
      </c>
      <c r="L7" s="31" t="s">
        <v>214</v>
      </c>
      <c r="M7" s="31" t="s">
        <v>214</v>
      </c>
      <c r="N7" s="31" t="s">
        <v>214</v>
      </c>
      <c r="O7" s="31" t="s">
        <v>214</v>
      </c>
      <c r="P7" s="31" t="s">
        <v>214</v>
      </c>
      <c r="Q7" s="31" t="s">
        <v>214</v>
      </c>
      <c r="R7" s="32"/>
      <c r="S7" s="33">
        <v>3</v>
      </c>
      <c r="T7" s="33">
        <v>3</v>
      </c>
      <c r="U7" s="33">
        <v>3</v>
      </c>
      <c r="V7" s="33">
        <v>3</v>
      </c>
      <c r="W7" s="33">
        <v>3</v>
      </c>
      <c r="X7" s="33">
        <v>3</v>
      </c>
      <c r="Y7" s="33">
        <v>3</v>
      </c>
      <c r="Z7" s="33">
        <v>3</v>
      </c>
      <c r="AA7" s="33">
        <v>3</v>
      </c>
      <c r="AB7" s="33">
        <v>3</v>
      </c>
      <c r="AC7" s="33">
        <v>3</v>
      </c>
      <c r="AD7" s="33"/>
      <c r="AE7" s="37">
        <f>SUM(Table14[[#This Row],[Autumn Week 1]:[Spring Week 12]])</f>
        <v>33</v>
      </c>
    </row>
    <row r="8" spans="1:31">
      <c r="A8" s="3" t="s">
        <v>83</v>
      </c>
      <c r="B8" s="3" t="s">
        <v>79</v>
      </c>
      <c r="C8" s="11" t="s">
        <v>218</v>
      </c>
      <c r="D8" s="29">
        <f>INDEX(Table2[Credits],MATCH(Table14[[#This Row],[Module Code]],Table2[Module Code],0))</f>
        <v>10</v>
      </c>
      <c r="E8" s="29" t="str">
        <f>INDEX(Table2[Semester],MATCH(Table14[[#This Row],[Module Code]],Table2[Module Code],0))</f>
        <v>SEM2</v>
      </c>
      <c r="F8" s="11">
        <f>INDEX(Table2[Contact Time],MATCH(Table14[[#This Row],[Module Code]],Table2[Module Code],0))</f>
        <v>2</v>
      </c>
      <c r="G8" s="31" t="s">
        <v>214</v>
      </c>
      <c r="H8" s="31" t="s">
        <v>214</v>
      </c>
      <c r="I8" s="31" t="s">
        <v>214</v>
      </c>
      <c r="J8" s="31" t="s">
        <v>214</v>
      </c>
      <c r="K8" s="31" t="s">
        <v>214</v>
      </c>
      <c r="L8" s="31" t="s">
        <v>214</v>
      </c>
      <c r="M8" s="31" t="s">
        <v>214</v>
      </c>
      <c r="N8" s="31" t="s">
        <v>214</v>
      </c>
      <c r="O8" s="31" t="s">
        <v>214</v>
      </c>
      <c r="P8" s="31" t="s">
        <v>214</v>
      </c>
      <c r="Q8" s="31" t="s">
        <v>214</v>
      </c>
      <c r="R8" s="32"/>
      <c r="S8" s="33">
        <v>2</v>
      </c>
      <c r="T8" s="33">
        <v>2</v>
      </c>
      <c r="U8" s="33">
        <v>2</v>
      </c>
      <c r="V8" s="33">
        <v>2</v>
      </c>
      <c r="W8" s="33">
        <v>2</v>
      </c>
      <c r="X8" s="33">
        <v>2</v>
      </c>
      <c r="Y8" s="33">
        <v>2</v>
      </c>
      <c r="Z8" s="33">
        <v>2</v>
      </c>
      <c r="AA8" s="33">
        <v>2</v>
      </c>
      <c r="AB8" s="33">
        <v>2</v>
      </c>
      <c r="AC8" s="33">
        <v>2</v>
      </c>
      <c r="AD8" s="33"/>
      <c r="AE8" s="37">
        <f>SUM(Table14[[#This Row],[Autumn Week 1]:[Spring Week 12]])</f>
        <v>22</v>
      </c>
    </row>
    <row r="9" spans="1:31">
      <c r="A9" s="3" t="s">
        <v>84</v>
      </c>
      <c r="B9" s="3" t="s">
        <v>80</v>
      </c>
      <c r="C9" s="12" t="s">
        <v>218</v>
      </c>
      <c r="D9" s="29">
        <f>INDEX(Table2[Credits],MATCH(Table14[[#This Row],[Module Code]],Table2[Module Code],0))</f>
        <v>10</v>
      </c>
      <c r="E9" s="29" t="str">
        <f>INDEX(Table2[Semester],MATCH(Table14[[#This Row],[Module Code]],Table2[Module Code],0))</f>
        <v>SEM2</v>
      </c>
      <c r="F9" s="11">
        <f>INDEX(Table2[Contact Time],MATCH(Table14[[#This Row],[Module Code]],Table2[Module Code],0))</f>
        <v>2</v>
      </c>
      <c r="G9" s="31" t="s">
        <v>214</v>
      </c>
      <c r="H9" s="31" t="s">
        <v>214</v>
      </c>
      <c r="I9" s="31" t="s">
        <v>214</v>
      </c>
      <c r="J9" s="31" t="s">
        <v>214</v>
      </c>
      <c r="K9" s="31" t="s">
        <v>214</v>
      </c>
      <c r="L9" s="31" t="s">
        <v>214</v>
      </c>
      <c r="M9" s="31" t="s">
        <v>214</v>
      </c>
      <c r="N9" s="31" t="s">
        <v>214</v>
      </c>
      <c r="O9" s="31" t="s">
        <v>214</v>
      </c>
      <c r="P9" s="31" t="s">
        <v>214</v>
      </c>
      <c r="Q9" s="31" t="s">
        <v>214</v>
      </c>
      <c r="R9" s="32"/>
      <c r="S9" s="33">
        <v>2</v>
      </c>
      <c r="T9" s="33">
        <v>2</v>
      </c>
      <c r="U9" s="33">
        <v>2</v>
      </c>
      <c r="V9" s="33">
        <v>2</v>
      </c>
      <c r="W9" s="33">
        <v>2</v>
      </c>
      <c r="X9" s="33">
        <v>2</v>
      </c>
      <c r="Y9" s="33">
        <v>2</v>
      </c>
      <c r="Z9" s="33">
        <v>2</v>
      </c>
      <c r="AA9" s="33">
        <v>2</v>
      </c>
      <c r="AB9" s="33">
        <v>2</v>
      </c>
      <c r="AC9" s="33">
        <v>2</v>
      </c>
      <c r="AD9" s="33"/>
      <c r="AE9" s="37">
        <f>SUM(Table14[[#This Row],[Autumn Week 1]:[Spring Week 12]])</f>
        <v>22</v>
      </c>
    </row>
    <row r="10" spans="1:31">
      <c r="A10" s="3" t="s">
        <v>82</v>
      </c>
      <c r="B10" s="3" t="s">
        <v>78</v>
      </c>
      <c r="C10" s="12" t="s">
        <v>218</v>
      </c>
      <c r="D10" s="29">
        <f>INDEX(Table2[Credits],MATCH(Table14[[#This Row],[Module Code]],Table2[Module Code],0))</f>
        <v>10</v>
      </c>
      <c r="E10" s="29" t="str">
        <f>INDEX(Table2[Semester],MATCH(Table14[[#This Row],[Module Code]],Table2[Module Code],0))</f>
        <v>SEM2</v>
      </c>
      <c r="F10" s="11">
        <f>INDEX(Table2[Contact Time],MATCH(Table14[[#This Row],[Module Code]],Table2[Module Code],0))</f>
        <v>2</v>
      </c>
      <c r="G10" s="31" t="s">
        <v>214</v>
      </c>
      <c r="H10" s="31" t="s">
        <v>214</v>
      </c>
      <c r="I10" s="31" t="s">
        <v>214</v>
      </c>
      <c r="J10" s="31" t="s">
        <v>214</v>
      </c>
      <c r="K10" s="31" t="s">
        <v>214</v>
      </c>
      <c r="L10" s="31" t="s">
        <v>214</v>
      </c>
      <c r="M10" s="31" t="s">
        <v>214</v>
      </c>
      <c r="N10" s="31" t="s">
        <v>214</v>
      </c>
      <c r="O10" s="31" t="s">
        <v>214</v>
      </c>
      <c r="P10" s="31" t="s">
        <v>214</v>
      </c>
      <c r="Q10" s="31" t="s">
        <v>214</v>
      </c>
      <c r="R10" s="32"/>
      <c r="S10" s="33">
        <v>2</v>
      </c>
      <c r="T10" s="33">
        <v>2</v>
      </c>
      <c r="U10" s="33">
        <v>2</v>
      </c>
      <c r="V10" s="33">
        <v>2</v>
      </c>
      <c r="W10" s="33">
        <v>2</v>
      </c>
      <c r="X10" s="33">
        <v>2</v>
      </c>
      <c r="Y10" s="33">
        <v>2</v>
      </c>
      <c r="Z10" s="33">
        <v>2</v>
      </c>
      <c r="AA10" s="33">
        <v>2</v>
      </c>
      <c r="AB10" s="33">
        <v>2</v>
      </c>
      <c r="AC10" s="33">
        <v>2</v>
      </c>
      <c r="AD10" s="33"/>
      <c r="AE10" s="37">
        <f>SUM(Table14[[#This Row],[Autumn Week 1]:[Spring Week 12]])</f>
        <v>22</v>
      </c>
    </row>
    <row r="11" spans="1:31">
      <c r="A11" s="3" t="s">
        <v>215</v>
      </c>
      <c r="B11" s="28" t="s">
        <v>216</v>
      </c>
      <c r="C11" s="12" t="s">
        <v>217</v>
      </c>
      <c r="D11" s="29">
        <f>INDEX(Table2[Credits],MATCH(Table14[[#This Row],[Module Code]],Table2[Module Code],0))</f>
        <v>0</v>
      </c>
      <c r="E11" s="29" t="str">
        <f>INDEX(Table2[Semester],MATCH(Table14[[#This Row],[Module Code]],Table2[Module Code],0))</f>
        <v>SEMD</v>
      </c>
      <c r="F11" s="11">
        <f>INDEX(Table2[Contact Time],MATCH(Table14[[#This Row],[Module Code]],Table2[Module Code],0))</f>
        <v>1</v>
      </c>
      <c r="G11" s="31">
        <v>1</v>
      </c>
      <c r="H11" s="31">
        <v>1</v>
      </c>
      <c r="I11" s="31">
        <v>1</v>
      </c>
      <c r="J11" s="31">
        <v>1</v>
      </c>
      <c r="K11" s="31">
        <v>1</v>
      </c>
      <c r="L11" s="31">
        <v>1</v>
      </c>
      <c r="M11" s="31">
        <v>1</v>
      </c>
      <c r="N11" s="31">
        <v>1</v>
      </c>
      <c r="O11" s="31">
        <v>1</v>
      </c>
      <c r="P11" s="31">
        <v>1</v>
      </c>
      <c r="Q11" s="31">
        <v>1</v>
      </c>
      <c r="R11" s="32"/>
      <c r="S11" s="33">
        <v>1</v>
      </c>
      <c r="T11" s="33">
        <v>1</v>
      </c>
      <c r="U11" s="33">
        <v>1</v>
      </c>
      <c r="V11" s="33">
        <v>1</v>
      </c>
      <c r="W11" s="33">
        <v>1</v>
      </c>
      <c r="X11" s="33">
        <v>1</v>
      </c>
      <c r="Y11" s="33">
        <v>1</v>
      </c>
      <c r="Z11" s="33">
        <v>1</v>
      </c>
      <c r="AA11" s="33">
        <v>1</v>
      </c>
      <c r="AB11" s="33">
        <v>1</v>
      </c>
      <c r="AC11" s="33">
        <v>1</v>
      </c>
      <c r="AD11" s="33"/>
      <c r="AE11" s="37">
        <f>SUM(Table14[[#This Row],[Autumn Week 1]:[Spring Week 12]])</f>
        <v>22</v>
      </c>
    </row>
    <row r="12" spans="1:31">
      <c r="A12" s="4" t="s">
        <v>37</v>
      </c>
      <c r="B12" s="2" t="s">
        <v>38</v>
      </c>
      <c r="C12" s="11" t="s">
        <v>218</v>
      </c>
      <c r="D12" s="29">
        <f>INDEX(Table2[Credits],MATCH(Table14[[#This Row],[Module Code]],Table2[Module Code],0))</f>
        <v>20</v>
      </c>
      <c r="E12" s="29" t="str">
        <f>INDEX(Table2[Semester],MATCH(Table14[[#This Row],[Module Code]],Table2[Module Code],0))</f>
        <v>SEM1</v>
      </c>
      <c r="F12" s="11">
        <f>INDEX(Table2[Contact Time],MATCH(Table14[[#This Row],[Module Code]],Table2[Module Code],0))</f>
        <v>4</v>
      </c>
      <c r="G12" s="31">
        <v>4</v>
      </c>
      <c r="H12" s="31">
        <v>4</v>
      </c>
      <c r="I12" s="31">
        <v>4</v>
      </c>
      <c r="J12" s="31">
        <v>4</v>
      </c>
      <c r="K12" s="31">
        <v>4</v>
      </c>
      <c r="L12" s="31">
        <v>4</v>
      </c>
      <c r="M12" s="31">
        <v>4</v>
      </c>
      <c r="N12" s="31">
        <v>4</v>
      </c>
      <c r="O12" s="31">
        <v>4</v>
      </c>
      <c r="P12" s="31">
        <v>4</v>
      </c>
      <c r="Q12" s="31">
        <v>4</v>
      </c>
      <c r="R12" s="32"/>
      <c r="S12" s="33" t="s">
        <v>214</v>
      </c>
      <c r="T12" s="33" t="s">
        <v>214</v>
      </c>
      <c r="U12" s="33" t="s">
        <v>214</v>
      </c>
      <c r="V12" s="33" t="s">
        <v>214</v>
      </c>
      <c r="W12" s="33" t="s">
        <v>214</v>
      </c>
      <c r="X12" s="33" t="s">
        <v>214</v>
      </c>
      <c r="Y12" s="33" t="s">
        <v>214</v>
      </c>
      <c r="Z12" s="33" t="s">
        <v>214</v>
      </c>
      <c r="AA12" s="33" t="s">
        <v>214</v>
      </c>
      <c r="AB12" s="33" t="s">
        <v>214</v>
      </c>
      <c r="AC12" s="33" t="s">
        <v>214</v>
      </c>
      <c r="AD12" s="33"/>
      <c r="AE12" s="37">
        <f>SUM(Table14[[#This Row],[Autumn Week 1]:[Spring Week 12]])</f>
        <v>44</v>
      </c>
    </row>
    <row r="13" spans="1:31">
      <c r="A13" s="4" t="s">
        <v>258</v>
      </c>
      <c r="B13" s="2" t="s">
        <v>257</v>
      </c>
      <c r="C13" s="11" t="s">
        <v>218</v>
      </c>
      <c r="D13" s="29">
        <f>INDEX(Table2[Credits],MATCH(Table14[[#This Row],[Module Code]],Table2[Module Code],0))</f>
        <v>10</v>
      </c>
      <c r="E13" s="29" t="str">
        <f>INDEX(Table2[Semester],MATCH(Table14[[#This Row],[Module Code]],Table2[Module Code],0))</f>
        <v>SEM1</v>
      </c>
      <c r="F13" s="11">
        <f>INDEX(Table2[Contact Time],MATCH(Table14[[#This Row],[Module Code]],Table2[Module Code],0))</f>
        <v>3</v>
      </c>
      <c r="G13" s="31">
        <v>3</v>
      </c>
      <c r="H13" s="31">
        <v>3</v>
      </c>
      <c r="I13" s="31">
        <v>3</v>
      </c>
      <c r="J13" s="31">
        <v>3</v>
      </c>
      <c r="K13" s="31">
        <v>3</v>
      </c>
      <c r="L13" s="31">
        <v>3</v>
      </c>
      <c r="M13" s="31">
        <v>3</v>
      </c>
      <c r="N13" s="31">
        <v>3</v>
      </c>
      <c r="O13" s="31">
        <v>3</v>
      </c>
      <c r="P13" s="31">
        <v>3</v>
      </c>
      <c r="Q13" s="31">
        <v>3</v>
      </c>
      <c r="R13" s="32"/>
      <c r="S13" s="33" t="s">
        <v>214</v>
      </c>
      <c r="T13" s="33" t="s">
        <v>214</v>
      </c>
      <c r="U13" s="33" t="s">
        <v>214</v>
      </c>
      <c r="V13" s="33" t="s">
        <v>214</v>
      </c>
      <c r="W13" s="33" t="s">
        <v>214</v>
      </c>
      <c r="X13" s="33" t="s">
        <v>214</v>
      </c>
      <c r="Y13" s="33" t="s">
        <v>214</v>
      </c>
      <c r="Z13" s="33" t="s">
        <v>214</v>
      </c>
      <c r="AA13" s="33" t="s">
        <v>214</v>
      </c>
      <c r="AB13" s="33" t="s">
        <v>214</v>
      </c>
      <c r="AC13" s="33" t="s">
        <v>214</v>
      </c>
      <c r="AD13" s="33"/>
      <c r="AE13" s="37">
        <f>SUM(Table14[[#This Row],[Autumn Week 1]:[Spring Week 12]])</f>
        <v>33</v>
      </c>
    </row>
    <row r="14" spans="1:31">
      <c r="A14" s="4" t="s">
        <v>49</v>
      </c>
      <c r="B14" s="2" t="s">
        <v>48</v>
      </c>
      <c r="C14" s="11" t="s">
        <v>219</v>
      </c>
      <c r="D14" s="29">
        <f>INDEX(Table2[Credits],MATCH(Table14[[#This Row],[Module Code]],Table2[Module Code],0))</f>
        <v>10</v>
      </c>
      <c r="E14" s="29" t="str">
        <f>INDEX(Table2[Semester],MATCH(Table14[[#This Row],[Module Code]],Table2[Module Code],0))</f>
        <v>SEM1</v>
      </c>
      <c r="F14" s="11">
        <f>INDEX(Table2[Contact Time],MATCH(Table14[[#This Row],[Module Code]],Table2[Module Code],0))</f>
        <v>4</v>
      </c>
      <c r="G14" s="31">
        <v>4</v>
      </c>
      <c r="H14" s="31">
        <v>4</v>
      </c>
      <c r="I14" s="31">
        <v>4</v>
      </c>
      <c r="J14" s="31">
        <v>4</v>
      </c>
      <c r="K14" s="31">
        <v>4</v>
      </c>
      <c r="L14" s="31">
        <v>4</v>
      </c>
      <c r="M14" s="31">
        <v>4</v>
      </c>
      <c r="N14" s="31">
        <v>4</v>
      </c>
      <c r="O14" s="31">
        <v>4</v>
      </c>
      <c r="P14" s="31">
        <v>4</v>
      </c>
      <c r="Q14" s="31">
        <v>4</v>
      </c>
      <c r="R14" s="32"/>
      <c r="S14" s="33" t="s">
        <v>214</v>
      </c>
      <c r="T14" s="33" t="s">
        <v>214</v>
      </c>
      <c r="U14" s="33" t="s">
        <v>214</v>
      </c>
      <c r="V14" s="33" t="s">
        <v>214</v>
      </c>
      <c r="W14" s="33" t="s">
        <v>214</v>
      </c>
      <c r="X14" s="33" t="s">
        <v>214</v>
      </c>
      <c r="Y14" s="33" t="s">
        <v>214</v>
      </c>
      <c r="Z14" s="33" t="s">
        <v>214</v>
      </c>
      <c r="AA14" s="33" t="s">
        <v>214</v>
      </c>
      <c r="AB14" s="33" t="s">
        <v>214</v>
      </c>
      <c r="AC14" s="33" t="s">
        <v>214</v>
      </c>
      <c r="AD14" s="33"/>
      <c r="AE14" s="37">
        <f>SUM(Table14[[#This Row],[Autumn Week 1]:[Spring Week 12]])</f>
        <v>44</v>
      </c>
    </row>
    <row r="15" spans="1:31">
      <c r="A15" s="4" t="s">
        <v>234</v>
      </c>
      <c r="B15" s="2" t="s">
        <v>235</v>
      </c>
      <c r="C15" s="11" t="s">
        <v>219</v>
      </c>
      <c r="D15" s="29">
        <f>INDEX(Table2[Credits],MATCH(Table14[[#This Row],[Module Code]],Table2[Module Code],0))</f>
        <v>10</v>
      </c>
      <c r="E15" s="29" t="str">
        <f>INDEX(Table2[Semester],MATCH(Table14[[#This Row],[Module Code]],Table2[Module Code],0))</f>
        <v>SEM1</v>
      </c>
      <c r="F15" s="11">
        <f>INDEX(Table2[Contact Time],MATCH(Table14[[#This Row],[Module Code]],Table2[Module Code],0))</f>
        <v>3</v>
      </c>
      <c r="G15" s="31">
        <v>3</v>
      </c>
      <c r="H15" s="31">
        <v>3</v>
      </c>
      <c r="I15" s="31">
        <v>3</v>
      </c>
      <c r="J15" s="31">
        <v>3</v>
      </c>
      <c r="K15" s="31">
        <v>3</v>
      </c>
      <c r="L15" s="31">
        <v>3</v>
      </c>
      <c r="M15" s="31">
        <v>3</v>
      </c>
      <c r="N15" s="31">
        <v>3</v>
      </c>
      <c r="O15" s="31">
        <v>3</v>
      </c>
      <c r="P15" s="31">
        <v>3</v>
      </c>
      <c r="Q15" s="31"/>
      <c r="R15" s="32"/>
      <c r="S15" s="33" t="s">
        <v>214</v>
      </c>
      <c r="T15" s="33" t="s">
        <v>214</v>
      </c>
      <c r="U15" s="33" t="s">
        <v>214</v>
      </c>
      <c r="V15" s="33" t="s">
        <v>214</v>
      </c>
      <c r="W15" s="33" t="s">
        <v>214</v>
      </c>
      <c r="X15" s="33" t="s">
        <v>214</v>
      </c>
      <c r="Y15" s="33" t="s">
        <v>214</v>
      </c>
      <c r="Z15" s="33" t="s">
        <v>214</v>
      </c>
      <c r="AA15" s="33" t="s">
        <v>214</v>
      </c>
      <c r="AB15" s="33" t="s">
        <v>214</v>
      </c>
      <c r="AC15" s="33" t="s">
        <v>214</v>
      </c>
      <c r="AD15" s="33"/>
      <c r="AE15" s="37">
        <f>SUM(Table14[[#This Row],[Autumn Week 1]:[Spring Week 12]])</f>
        <v>30</v>
      </c>
    </row>
    <row r="16" spans="1:31">
      <c r="A16" s="4" t="s">
        <v>40</v>
      </c>
      <c r="B16" s="2" t="s">
        <v>41</v>
      </c>
      <c r="C16" s="11" t="s">
        <v>218</v>
      </c>
      <c r="D16" s="29">
        <f>INDEX(Table2[Credits],MATCH(Table14[[#This Row],[Module Code]],Table2[Module Code],0))</f>
        <v>10</v>
      </c>
      <c r="E16" s="29" t="str">
        <f>INDEX(Table2[Semester],MATCH(Table14[[#This Row],[Module Code]],Table2[Module Code],0))</f>
        <v>SEM1</v>
      </c>
      <c r="F16" s="11">
        <f>INDEX(Table2[Contact Time],MATCH(Table14[[#This Row],[Module Code]],Table2[Module Code],0))</f>
        <v>2</v>
      </c>
      <c r="G16" s="31">
        <v>2</v>
      </c>
      <c r="H16" s="31">
        <v>2</v>
      </c>
      <c r="I16" s="31">
        <v>2</v>
      </c>
      <c r="J16" s="31">
        <v>2</v>
      </c>
      <c r="K16" s="31">
        <v>2</v>
      </c>
      <c r="L16" s="31">
        <v>2</v>
      </c>
      <c r="M16" s="31">
        <v>2</v>
      </c>
      <c r="N16" s="31">
        <v>2</v>
      </c>
      <c r="O16" s="31">
        <v>2</v>
      </c>
      <c r="P16" s="31">
        <v>2</v>
      </c>
      <c r="Q16" s="31">
        <v>2</v>
      </c>
      <c r="R16" s="32"/>
      <c r="S16" s="33" t="s">
        <v>214</v>
      </c>
      <c r="T16" s="33" t="s">
        <v>214</v>
      </c>
      <c r="U16" s="33" t="s">
        <v>214</v>
      </c>
      <c r="V16" s="33" t="s">
        <v>214</v>
      </c>
      <c r="W16" s="33" t="s">
        <v>214</v>
      </c>
      <c r="X16" s="33" t="s">
        <v>214</v>
      </c>
      <c r="Y16" s="33" t="s">
        <v>214</v>
      </c>
      <c r="Z16" s="33" t="s">
        <v>214</v>
      </c>
      <c r="AA16" s="33" t="s">
        <v>214</v>
      </c>
      <c r="AB16" s="33" t="s">
        <v>214</v>
      </c>
      <c r="AC16" s="33" t="s">
        <v>214</v>
      </c>
      <c r="AD16" s="33"/>
      <c r="AE16" s="37">
        <f>SUM(Table14[[#This Row],[Autumn Week 1]:[Spring Week 12]])</f>
        <v>22</v>
      </c>
    </row>
    <row r="17" spans="1:31">
      <c r="A17" s="4" t="s">
        <v>44</v>
      </c>
      <c r="B17" s="2" t="s">
        <v>42</v>
      </c>
      <c r="C17" s="11" t="s">
        <v>217</v>
      </c>
      <c r="D17" s="29">
        <f>INDEX(Table2[Credits],MATCH(Table14[[#This Row],[Module Code]],Table2[Module Code],0))</f>
        <v>10</v>
      </c>
      <c r="E17" s="29" t="str">
        <f>INDEX(Table2[Semester],MATCH(Table14[[#This Row],[Module Code]],Table2[Module Code],0))</f>
        <v>SEM1</v>
      </c>
      <c r="F17" s="11">
        <f>INDEX(Table2[Contact Time],MATCH(Table14[[#This Row],[Module Code]],Table2[Module Code],0))</f>
        <v>2</v>
      </c>
      <c r="G17" s="31">
        <v>2</v>
      </c>
      <c r="H17" s="31">
        <v>2</v>
      </c>
      <c r="I17" s="31">
        <v>2</v>
      </c>
      <c r="J17" s="31">
        <v>2</v>
      </c>
      <c r="K17" s="31">
        <v>2</v>
      </c>
      <c r="L17" s="31">
        <v>2</v>
      </c>
      <c r="M17" s="31">
        <v>2</v>
      </c>
      <c r="N17" s="31">
        <v>2</v>
      </c>
      <c r="O17" s="31">
        <v>2</v>
      </c>
      <c r="P17" s="31">
        <v>2</v>
      </c>
      <c r="Q17" s="31">
        <v>2</v>
      </c>
      <c r="R17" s="32"/>
      <c r="S17" s="33" t="s">
        <v>214</v>
      </c>
      <c r="T17" s="33" t="s">
        <v>214</v>
      </c>
      <c r="U17" s="33" t="s">
        <v>214</v>
      </c>
      <c r="V17" s="33" t="s">
        <v>214</v>
      </c>
      <c r="W17" s="33" t="s">
        <v>214</v>
      </c>
      <c r="X17" s="33" t="s">
        <v>214</v>
      </c>
      <c r="Y17" s="33" t="s">
        <v>214</v>
      </c>
      <c r="Z17" s="33" t="s">
        <v>214</v>
      </c>
      <c r="AA17" s="33" t="s">
        <v>214</v>
      </c>
      <c r="AB17" s="33" t="s">
        <v>214</v>
      </c>
      <c r="AC17" s="33" t="s">
        <v>214</v>
      </c>
      <c r="AD17" s="33"/>
      <c r="AE17" s="37">
        <f>SUM(Table14[[#This Row],[Autumn Week 1]:[Spring Week 12]])</f>
        <v>22</v>
      </c>
    </row>
    <row r="18" spans="1:31">
      <c r="A18" s="4" t="s">
        <v>45</v>
      </c>
      <c r="B18" s="2" t="s">
        <v>43</v>
      </c>
      <c r="C18" s="11" t="s">
        <v>218</v>
      </c>
      <c r="D18" s="29">
        <f>INDEX(Table2[Credits],MATCH(Table14[[#This Row],[Module Code]],Table2[Module Code],0))</f>
        <v>10</v>
      </c>
      <c r="E18" s="29" t="str">
        <f>INDEX(Table2[Semester],MATCH(Table14[[#This Row],[Module Code]],Table2[Module Code],0))</f>
        <v>SEM1</v>
      </c>
      <c r="F18" s="11">
        <f>INDEX(Table2[Contact Time],MATCH(Table14[[#This Row],[Module Code]],Table2[Module Code],0))</f>
        <v>2</v>
      </c>
      <c r="G18" s="31">
        <v>2</v>
      </c>
      <c r="H18" s="31">
        <v>2</v>
      </c>
      <c r="I18" s="31">
        <v>2</v>
      </c>
      <c r="J18" s="31">
        <v>2</v>
      </c>
      <c r="K18" s="31">
        <v>2</v>
      </c>
      <c r="L18" s="31">
        <v>2</v>
      </c>
      <c r="M18" s="31">
        <v>2</v>
      </c>
      <c r="N18" s="31">
        <v>2</v>
      </c>
      <c r="O18" s="31">
        <v>2</v>
      </c>
      <c r="P18" s="31">
        <v>2</v>
      </c>
      <c r="Q18" s="31">
        <v>2</v>
      </c>
      <c r="R18" s="32"/>
      <c r="S18" s="33" t="s">
        <v>214</v>
      </c>
      <c r="T18" s="33" t="s">
        <v>214</v>
      </c>
      <c r="U18" s="33" t="s">
        <v>214</v>
      </c>
      <c r="V18" s="33" t="s">
        <v>214</v>
      </c>
      <c r="W18" s="33" t="s">
        <v>214</v>
      </c>
      <c r="X18" s="33" t="s">
        <v>214</v>
      </c>
      <c r="Y18" s="33" t="s">
        <v>214</v>
      </c>
      <c r="Z18" s="33" t="s">
        <v>214</v>
      </c>
      <c r="AA18" s="33" t="s">
        <v>214</v>
      </c>
      <c r="AB18" s="33" t="s">
        <v>214</v>
      </c>
      <c r="AC18" s="33" t="s">
        <v>214</v>
      </c>
      <c r="AD18" s="33"/>
      <c r="AE18" s="37">
        <f>SUM(Table14[[#This Row],[Autumn Week 1]:[Spring Week 12]])</f>
        <v>22</v>
      </c>
    </row>
    <row r="19" spans="1:31">
      <c r="A19" s="4" t="s">
        <v>51</v>
      </c>
      <c r="B19" s="2" t="s">
        <v>50</v>
      </c>
      <c r="C19" s="11" t="s">
        <v>219</v>
      </c>
      <c r="D19" s="29">
        <f>INDEX(Table2[Credits],MATCH(Table14[[#This Row],[Module Code]],Table2[Module Code],0))</f>
        <v>20</v>
      </c>
      <c r="E19" s="29" t="str">
        <f>INDEX(Table2[Semester],MATCH(Table14[[#This Row],[Module Code]],Table2[Module Code],0))</f>
        <v>SEMD</v>
      </c>
      <c r="F19" s="11">
        <f>INDEX(Table2[Contact Time],MATCH(Table14[[#This Row],[Module Code]],Table2[Module Code],0))</f>
        <v>4</v>
      </c>
      <c r="G19" s="31">
        <v>4</v>
      </c>
      <c r="H19" s="31">
        <v>4</v>
      </c>
      <c r="I19" s="31">
        <v>4</v>
      </c>
      <c r="J19" s="31">
        <v>4</v>
      </c>
      <c r="K19" s="31">
        <v>4</v>
      </c>
      <c r="L19" s="31">
        <v>4</v>
      </c>
      <c r="M19" s="31">
        <v>4</v>
      </c>
      <c r="N19" s="31">
        <v>4</v>
      </c>
      <c r="O19" s="31">
        <v>4</v>
      </c>
      <c r="P19" s="31">
        <v>4</v>
      </c>
      <c r="Q19" s="31">
        <v>4</v>
      </c>
      <c r="R19" s="32"/>
      <c r="S19" s="33">
        <v>4</v>
      </c>
      <c r="T19" s="33">
        <v>4</v>
      </c>
      <c r="U19" s="33">
        <v>4</v>
      </c>
      <c r="V19" s="33">
        <v>4</v>
      </c>
      <c r="W19" s="33">
        <v>4</v>
      </c>
      <c r="X19" s="33">
        <v>4</v>
      </c>
      <c r="Y19" s="33">
        <v>4</v>
      </c>
      <c r="Z19" s="33">
        <v>4</v>
      </c>
      <c r="AA19" s="33">
        <v>4</v>
      </c>
      <c r="AB19" s="33">
        <v>4</v>
      </c>
      <c r="AC19" s="33">
        <v>4</v>
      </c>
      <c r="AD19" s="33"/>
      <c r="AE19" s="37">
        <f>SUM(Table14[[#This Row],[Autumn Week 1]:[Spring Week 12]])</f>
        <v>88</v>
      </c>
    </row>
    <row r="20" spans="1:31">
      <c r="A20" s="4" t="s">
        <v>53</v>
      </c>
      <c r="B20" s="2" t="s">
        <v>52</v>
      </c>
      <c r="C20" s="11" t="s">
        <v>219</v>
      </c>
      <c r="D20" s="29">
        <f>INDEX(Table2[Credits],MATCH(Table14[[#This Row],[Module Code]],Table2[Module Code],0))</f>
        <v>20</v>
      </c>
      <c r="E20" s="29" t="str">
        <f>INDEX(Table2[Semester],MATCH(Table14[[#This Row],[Module Code]],Table2[Module Code],0))</f>
        <v>SEMD</v>
      </c>
      <c r="F20" s="11">
        <f>INDEX(Table2[Contact Time],MATCH(Table14[[#This Row],[Module Code]],Table2[Module Code],0))</f>
        <v>3</v>
      </c>
      <c r="G20" s="31">
        <v>3</v>
      </c>
      <c r="H20" s="31">
        <v>3</v>
      </c>
      <c r="I20" s="31">
        <v>3</v>
      </c>
      <c r="J20" s="31">
        <v>3</v>
      </c>
      <c r="K20" s="31">
        <v>3</v>
      </c>
      <c r="L20" s="31">
        <v>3</v>
      </c>
      <c r="M20" s="31">
        <v>3</v>
      </c>
      <c r="N20" s="31">
        <v>3</v>
      </c>
      <c r="O20" s="31">
        <v>3</v>
      </c>
      <c r="P20" s="31">
        <v>3</v>
      </c>
      <c r="Q20" s="31">
        <v>3</v>
      </c>
      <c r="R20" s="32"/>
      <c r="S20" s="33">
        <v>3</v>
      </c>
      <c r="T20" s="33">
        <v>3</v>
      </c>
      <c r="U20" s="33">
        <v>3</v>
      </c>
      <c r="V20" s="33">
        <v>3</v>
      </c>
      <c r="W20" s="33">
        <v>3</v>
      </c>
      <c r="X20" s="33">
        <v>3</v>
      </c>
      <c r="Y20" s="33">
        <v>3</v>
      </c>
      <c r="Z20" s="33">
        <v>3</v>
      </c>
      <c r="AA20" s="33">
        <v>3</v>
      </c>
      <c r="AB20" s="33">
        <v>3</v>
      </c>
      <c r="AC20" s="33">
        <v>3</v>
      </c>
      <c r="AD20" s="34"/>
      <c r="AE20" s="37">
        <f>SUM(Table14[[#This Row],[Autumn Week 1]:[Spring Week 12]])</f>
        <v>66</v>
      </c>
    </row>
    <row r="21" spans="1:31">
      <c r="A21" s="3" t="s">
        <v>93</v>
      </c>
      <c r="B21" s="3" t="s">
        <v>85</v>
      </c>
      <c r="C21" s="11" t="s">
        <v>218</v>
      </c>
      <c r="D21" s="29">
        <f>INDEX(Table2[Credits],MATCH(Table14[[#This Row],[Module Code]],Table2[Module Code],0))</f>
        <v>20</v>
      </c>
      <c r="E21" s="29" t="str">
        <f>INDEX(Table2[Semester],MATCH(Table14[[#This Row],[Module Code]],Table2[Module Code],0))</f>
        <v>SEM2</v>
      </c>
      <c r="F21" s="11">
        <f>INDEX(Table2[Contact Time],MATCH(Table14[[#This Row],[Module Code]],Table2[Module Code],0))</f>
        <v>4</v>
      </c>
      <c r="G21" s="31" t="s">
        <v>214</v>
      </c>
      <c r="H21" s="31" t="s">
        <v>214</v>
      </c>
      <c r="I21" s="31" t="s">
        <v>214</v>
      </c>
      <c r="J21" s="31" t="s">
        <v>214</v>
      </c>
      <c r="K21" s="31" t="s">
        <v>214</v>
      </c>
      <c r="L21" s="31" t="s">
        <v>214</v>
      </c>
      <c r="M21" s="31" t="s">
        <v>214</v>
      </c>
      <c r="N21" s="31" t="s">
        <v>214</v>
      </c>
      <c r="O21" s="31" t="s">
        <v>214</v>
      </c>
      <c r="P21" s="31" t="s">
        <v>214</v>
      </c>
      <c r="Q21" s="31" t="s">
        <v>214</v>
      </c>
      <c r="R21" s="32"/>
      <c r="S21" s="33">
        <v>4</v>
      </c>
      <c r="T21" s="33">
        <v>4</v>
      </c>
      <c r="U21" s="33">
        <v>4</v>
      </c>
      <c r="V21" s="33">
        <v>4</v>
      </c>
      <c r="W21" s="33">
        <v>4</v>
      </c>
      <c r="X21" s="33">
        <v>4</v>
      </c>
      <c r="Y21" s="33">
        <v>4</v>
      </c>
      <c r="Z21" s="33">
        <v>4</v>
      </c>
      <c r="AA21" s="33">
        <v>4</v>
      </c>
      <c r="AB21" s="33">
        <v>4</v>
      </c>
      <c r="AC21" s="33">
        <v>4</v>
      </c>
      <c r="AD21" s="33"/>
      <c r="AE21" s="37">
        <f>SUM(Table14[[#This Row],[Autumn Week 1]:[Spring Week 12]])</f>
        <v>44</v>
      </c>
    </row>
    <row r="22" spans="1:31">
      <c r="A22" s="3" t="s">
        <v>94</v>
      </c>
      <c r="B22" s="3" t="s">
        <v>86</v>
      </c>
      <c r="C22" s="11" t="s">
        <v>217</v>
      </c>
      <c r="D22" s="29">
        <f>INDEX(Table2[Credits],MATCH(Table14[[#This Row],[Module Code]],Table2[Module Code],0))</f>
        <v>10</v>
      </c>
      <c r="E22" s="29" t="str">
        <f>INDEX(Table2[Semester],MATCH(Table14[[#This Row],[Module Code]],Table2[Module Code],0))</f>
        <v>SEM2</v>
      </c>
      <c r="F22" s="11">
        <f>INDEX(Table2[Contact Time],MATCH(Table14[[#This Row],[Module Code]],Table2[Module Code],0))</f>
        <v>2</v>
      </c>
      <c r="G22" s="31" t="s">
        <v>214</v>
      </c>
      <c r="H22" s="31" t="s">
        <v>214</v>
      </c>
      <c r="I22" s="31" t="s">
        <v>214</v>
      </c>
      <c r="J22" s="31" t="s">
        <v>214</v>
      </c>
      <c r="K22" s="31" t="s">
        <v>214</v>
      </c>
      <c r="L22" s="31" t="s">
        <v>214</v>
      </c>
      <c r="M22" s="31" t="s">
        <v>214</v>
      </c>
      <c r="N22" s="31" t="s">
        <v>214</v>
      </c>
      <c r="O22" s="31" t="s">
        <v>214</v>
      </c>
      <c r="P22" s="31" t="s">
        <v>214</v>
      </c>
      <c r="Q22" s="31" t="s">
        <v>214</v>
      </c>
      <c r="R22" s="32"/>
      <c r="S22" s="33">
        <v>2</v>
      </c>
      <c r="T22" s="33">
        <v>2</v>
      </c>
      <c r="U22" s="33">
        <v>2</v>
      </c>
      <c r="V22" s="33">
        <v>2</v>
      </c>
      <c r="W22" s="33">
        <v>2</v>
      </c>
      <c r="X22" s="33">
        <v>2</v>
      </c>
      <c r="Y22" s="33">
        <v>2</v>
      </c>
      <c r="Z22" s="33">
        <v>2</v>
      </c>
      <c r="AA22" s="33">
        <v>2</v>
      </c>
      <c r="AB22" s="33">
        <v>2</v>
      </c>
      <c r="AC22" s="33">
        <v>2</v>
      </c>
      <c r="AD22" s="33"/>
      <c r="AE22" s="37">
        <f>SUM(Table14[[#This Row],[Autumn Week 1]:[Spring Week 12]])</f>
        <v>22</v>
      </c>
    </row>
    <row r="23" spans="1:31">
      <c r="A23" s="3" t="s">
        <v>186</v>
      </c>
      <c r="B23" s="3" t="s">
        <v>88</v>
      </c>
      <c r="C23" s="11" t="s">
        <v>218</v>
      </c>
      <c r="D23" s="29">
        <f>INDEX(Table2[Credits],MATCH(Table14[[#This Row],[Module Code]],Table2[Module Code],0))</f>
        <v>10</v>
      </c>
      <c r="E23" s="29" t="str">
        <f>INDEX(Table2[Semester],MATCH(Table14[[#This Row],[Module Code]],Table2[Module Code],0))</f>
        <v>SEM2</v>
      </c>
      <c r="F23" s="11">
        <f>INDEX(Table2[Contact Time],MATCH(Table14[[#This Row],[Module Code]],Table2[Module Code],0))</f>
        <v>3</v>
      </c>
      <c r="G23" s="31" t="s">
        <v>214</v>
      </c>
      <c r="H23" s="31" t="s">
        <v>214</v>
      </c>
      <c r="I23" s="31" t="s">
        <v>214</v>
      </c>
      <c r="J23" s="31" t="s">
        <v>214</v>
      </c>
      <c r="K23" s="31" t="s">
        <v>214</v>
      </c>
      <c r="L23" s="31" t="s">
        <v>214</v>
      </c>
      <c r="M23" s="31" t="s">
        <v>214</v>
      </c>
      <c r="N23" s="31" t="s">
        <v>214</v>
      </c>
      <c r="O23" s="31" t="s">
        <v>214</v>
      </c>
      <c r="P23" s="31" t="s">
        <v>214</v>
      </c>
      <c r="Q23" s="31" t="s">
        <v>214</v>
      </c>
      <c r="R23" s="32"/>
      <c r="S23" s="33">
        <v>3</v>
      </c>
      <c r="T23" s="33">
        <v>3</v>
      </c>
      <c r="U23" s="33">
        <v>3</v>
      </c>
      <c r="V23" s="33">
        <v>3</v>
      </c>
      <c r="W23" s="33">
        <v>3</v>
      </c>
      <c r="X23" s="33">
        <v>3</v>
      </c>
      <c r="Y23" s="33">
        <v>3</v>
      </c>
      <c r="Z23" s="33">
        <v>3</v>
      </c>
      <c r="AA23" s="33">
        <v>3</v>
      </c>
      <c r="AB23" s="33">
        <v>3</v>
      </c>
      <c r="AC23" s="33">
        <v>3</v>
      </c>
      <c r="AD23" s="33"/>
      <c r="AE23" s="37">
        <f>SUM(Table14[[#This Row],[Autumn Week 1]:[Spring Week 12]])</f>
        <v>33</v>
      </c>
    </row>
    <row r="24" spans="1:31">
      <c r="A24" s="3" t="s">
        <v>89</v>
      </c>
      <c r="B24" s="3" t="s">
        <v>90</v>
      </c>
      <c r="C24" s="12" t="s">
        <v>218</v>
      </c>
      <c r="D24" s="29">
        <f>INDEX(Table2[Credits],MATCH(Table14[[#This Row],[Module Code]],Table2[Module Code],0))</f>
        <v>10</v>
      </c>
      <c r="E24" s="29" t="str">
        <f>INDEX(Table2[Semester],MATCH(Table14[[#This Row],[Module Code]],Table2[Module Code],0))</f>
        <v>SEM2</v>
      </c>
      <c r="F24" s="11">
        <f>INDEX(Table2[Contact Time],MATCH(Table14[[#This Row],[Module Code]],Table2[Module Code],0))</f>
        <v>2</v>
      </c>
      <c r="G24" s="31" t="s">
        <v>214</v>
      </c>
      <c r="H24" s="31" t="s">
        <v>214</v>
      </c>
      <c r="I24" s="31" t="s">
        <v>214</v>
      </c>
      <c r="J24" s="31" t="s">
        <v>214</v>
      </c>
      <c r="K24" s="31" t="s">
        <v>214</v>
      </c>
      <c r="L24" s="31" t="s">
        <v>214</v>
      </c>
      <c r="M24" s="31" t="s">
        <v>214</v>
      </c>
      <c r="N24" s="31" t="s">
        <v>214</v>
      </c>
      <c r="O24" s="31" t="s">
        <v>214</v>
      </c>
      <c r="P24" s="31" t="s">
        <v>214</v>
      </c>
      <c r="Q24" s="31" t="s">
        <v>214</v>
      </c>
      <c r="R24" s="32"/>
      <c r="S24" s="33">
        <v>2</v>
      </c>
      <c r="T24" s="33">
        <v>2</v>
      </c>
      <c r="U24" s="33">
        <v>2</v>
      </c>
      <c r="V24" s="33">
        <v>2</v>
      </c>
      <c r="W24" s="33">
        <v>2</v>
      </c>
      <c r="X24" s="33">
        <v>2</v>
      </c>
      <c r="Y24" s="33">
        <v>2</v>
      </c>
      <c r="Z24" s="33">
        <v>2</v>
      </c>
      <c r="AA24" s="33">
        <v>2</v>
      </c>
      <c r="AB24" s="33">
        <v>2</v>
      </c>
      <c r="AC24" s="33">
        <v>2</v>
      </c>
      <c r="AD24" s="33"/>
      <c r="AE24" s="37">
        <f>SUM(Table14[[#This Row],[Autumn Week 1]:[Spring Week 12]])</f>
        <v>22</v>
      </c>
    </row>
    <row r="25" spans="1:31">
      <c r="A25" s="3" t="s">
        <v>91</v>
      </c>
      <c r="B25" s="3" t="s">
        <v>92</v>
      </c>
      <c r="C25" s="11" t="s">
        <v>217</v>
      </c>
      <c r="D25" s="29">
        <f>INDEX(Table2[Credits],MATCH(Table14[[#This Row],[Module Code]],Table2[Module Code],0))</f>
        <v>10</v>
      </c>
      <c r="E25" s="29" t="str">
        <f>INDEX(Table2[Semester],MATCH(Table14[[#This Row],[Module Code]],Table2[Module Code],0))</f>
        <v>SEM2</v>
      </c>
      <c r="F25" s="11">
        <f>INDEX(Table2[Contact Time],MATCH(Table14[[#This Row],[Module Code]],Table2[Module Code],0))</f>
        <v>3</v>
      </c>
      <c r="G25" s="31" t="s">
        <v>214</v>
      </c>
      <c r="H25" s="31" t="s">
        <v>214</v>
      </c>
      <c r="I25" s="31" t="s">
        <v>214</v>
      </c>
      <c r="J25" s="31" t="s">
        <v>214</v>
      </c>
      <c r="K25" s="31" t="s">
        <v>214</v>
      </c>
      <c r="L25" s="31" t="s">
        <v>214</v>
      </c>
      <c r="M25" s="31" t="s">
        <v>214</v>
      </c>
      <c r="N25" s="31" t="s">
        <v>214</v>
      </c>
      <c r="O25" s="31" t="s">
        <v>214</v>
      </c>
      <c r="P25" s="31" t="s">
        <v>214</v>
      </c>
      <c r="Q25" s="31" t="s">
        <v>214</v>
      </c>
      <c r="R25" s="32"/>
      <c r="S25" s="33">
        <v>3</v>
      </c>
      <c r="T25" s="33">
        <v>3</v>
      </c>
      <c r="U25" s="33">
        <v>3</v>
      </c>
      <c r="V25" s="33">
        <v>3</v>
      </c>
      <c r="W25" s="33">
        <v>3</v>
      </c>
      <c r="X25" s="33">
        <v>3</v>
      </c>
      <c r="Y25" s="33">
        <v>3</v>
      </c>
      <c r="Z25" s="33">
        <v>3</v>
      </c>
      <c r="AA25" s="33">
        <v>3</v>
      </c>
      <c r="AB25" s="33">
        <v>3</v>
      </c>
      <c r="AC25" s="33"/>
      <c r="AD25" s="33"/>
      <c r="AE25" s="37">
        <f>SUM(Table14[[#This Row],[Autumn Week 1]:[Spring Week 12]])</f>
        <v>30</v>
      </c>
    </row>
    <row r="26" spans="1:31">
      <c r="A26" s="3" t="s">
        <v>95</v>
      </c>
      <c r="B26" s="3" t="s">
        <v>87</v>
      </c>
      <c r="C26" s="11" t="s">
        <v>217</v>
      </c>
      <c r="D26" s="29">
        <f>INDEX(Table2[Credits],MATCH(Table14[[#This Row],[Module Code]],Table2[Module Code],0))</f>
        <v>10</v>
      </c>
      <c r="E26" s="29" t="str">
        <f>INDEX(Table2[Semester],MATCH(Table14[[#This Row],[Module Code]],Table2[Module Code],0))</f>
        <v>SEM2</v>
      </c>
      <c r="F26" s="11">
        <f>INDEX(Table2[Contact Time],MATCH(Table14[[#This Row],[Module Code]],Table2[Module Code],0))</f>
        <v>3</v>
      </c>
      <c r="G26" s="31" t="s">
        <v>214</v>
      </c>
      <c r="H26" s="31" t="s">
        <v>214</v>
      </c>
      <c r="I26" s="31" t="s">
        <v>214</v>
      </c>
      <c r="J26" s="31" t="s">
        <v>214</v>
      </c>
      <c r="K26" s="31" t="s">
        <v>214</v>
      </c>
      <c r="L26" s="31" t="s">
        <v>214</v>
      </c>
      <c r="M26" s="31" t="s">
        <v>214</v>
      </c>
      <c r="N26" s="31" t="s">
        <v>214</v>
      </c>
      <c r="O26" s="31" t="s">
        <v>214</v>
      </c>
      <c r="P26" s="31" t="s">
        <v>214</v>
      </c>
      <c r="Q26" s="31" t="s">
        <v>214</v>
      </c>
      <c r="R26" s="32"/>
      <c r="S26" s="33">
        <v>3</v>
      </c>
      <c r="T26" s="33">
        <v>3</v>
      </c>
      <c r="U26" s="33">
        <v>3</v>
      </c>
      <c r="V26" s="33">
        <v>3</v>
      </c>
      <c r="W26" s="33">
        <v>3</v>
      </c>
      <c r="X26" s="33">
        <v>3</v>
      </c>
      <c r="Y26" s="33">
        <v>3</v>
      </c>
      <c r="Z26" s="33">
        <v>3</v>
      </c>
      <c r="AA26" s="33">
        <v>3</v>
      </c>
      <c r="AB26" s="33">
        <v>3</v>
      </c>
      <c r="AC26" s="33"/>
      <c r="AD26" s="33"/>
      <c r="AE26" s="37">
        <f>SUM(Table14[[#This Row],[Autumn Week 1]:[Spring Week 12]])</f>
        <v>30</v>
      </c>
    </row>
    <row r="27" spans="1:31">
      <c r="A27" s="4" t="s">
        <v>1</v>
      </c>
      <c r="B27" s="2" t="s">
        <v>2</v>
      </c>
      <c r="C27" s="11" t="s">
        <v>218</v>
      </c>
      <c r="D27" s="29">
        <f>INDEX(Table2[Credits],MATCH(Table14[[#This Row],[Module Code]],Table2[Module Code],0))</f>
        <v>20</v>
      </c>
      <c r="E27" s="29" t="str">
        <f>INDEX(Table2[Semester],MATCH(Table14[[#This Row],[Module Code]],Table2[Module Code],0))</f>
        <v>SEM1</v>
      </c>
      <c r="F27" s="11">
        <f>INDEX(Table2[Contact Time],MATCH(Table14[[#This Row],[Module Code]],Table2[Module Code],0))</f>
        <v>4</v>
      </c>
      <c r="G27" s="31">
        <v>4</v>
      </c>
      <c r="H27" s="31">
        <v>4</v>
      </c>
      <c r="I27" s="31">
        <v>4</v>
      </c>
      <c r="J27" s="31">
        <v>4</v>
      </c>
      <c r="K27" s="31">
        <v>4</v>
      </c>
      <c r="L27" s="31">
        <v>4</v>
      </c>
      <c r="M27" s="31">
        <v>4</v>
      </c>
      <c r="N27" s="31">
        <v>4</v>
      </c>
      <c r="O27" s="31">
        <v>4</v>
      </c>
      <c r="P27" s="31">
        <v>4</v>
      </c>
      <c r="Q27" s="31">
        <v>4</v>
      </c>
      <c r="R27" s="31"/>
      <c r="S27" s="33" t="s">
        <v>214</v>
      </c>
      <c r="T27" s="33" t="s">
        <v>214</v>
      </c>
      <c r="U27" s="33" t="s">
        <v>214</v>
      </c>
      <c r="V27" s="33" t="s">
        <v>214</v>
      </c>
      <c r="W27" s="33" t="s">
        <v>214</v>
      </c>
      <c r="X27" s="33" t="s">
        <v>214</v>
      </c>
      <c r="Y27" s="33" t="s">
        <v>214</v>
      </c>
      <c r="Z27" s="33" t="s">
        <v>214</v>
      </c>
      <c r="AA27" s="33" t="s">
        <v>214</v>
      </c>
      <c r="AB27" s="33" t="s">
        <v>214</v>
      </c>
      <c r="AC27" s="33" t="s">
        <v>214</v>
      </c>
      <c r="AD27" s="33"/>
      <c r="AE27" s="37">
        <f>SUM(Table14[[#This Row],[Autumn Week 1]:[Spring Week 12]])</f>
        <v>44</v>
      </c>
    </row>
    <row r="28" spans="1:31">
      <c r="A28" s="4" t="s">
        <v>248</v>
      </c>
      <c r="B28" s="2" t="s">
        <v>236</v>
      </c>
      <c r="C28" s="11" t="s">
        <v>218</v>
      </c>
      <c r="D28" s="29">
        <f>INDEX(Table2[Credits],MATCH(Table14[[#This Row],[Module Code]],Table2[Module Code],0))</f>
        <v>10</v>
      </c>
      <c r="E28" s="29" t="str">
        <f>INDEX(Table2[Semester],MATCH(Table14[[#This Row],[Module Code]],Table2[Module Code],0))</f>
        <v>SEM1</v>
      </c>
      <c r="F28" s="11">
        <f>INDEX(Table2[Contact Time],MATCH(Table14[[#This Row],[Module Code]],Table2[Module Code],0))</f>
        <v>3</v>
      </c>
      <c r="G28" s="31">
        <v>3</v>
      </c>
      <c r="H28" s="31">
        <v>3</v>
      </c>
      <c r="I28" s="31">
        <v>3</v>
      </c>
      <c r="J28" s="31">
        <v>3</v>
      </c>
      <c r="K28" s="31">
        <v>3</v>
      </c>
      <c r="L28" s="31">
        <v>3</v>
      </c>
      <c r="M28" s="31">
        <v>3</v>
      </c>
      <c r="N28" s="31">
        <v>3</v>
      </c>
      <c r="O28" s="31">
        <v>3</v>
      </c>
      <c r="P28" s="31">
        <v>3</v>
      </c>
      <c r="Q28" s="31">
        <v>3</v>
      </c>
      <c r="R28" s="35"/>
      <c r="S28" s="33" t="s">
        <v>214</v>
      </c>
      <c r="T28" s="33" t="s">
        <v>214</v>
      </c>
      <c r="U28" s="33" t="s">
        <v>214</v>
      </c>
      <c r="V28" s="33" t="s">
        <v>214</v>
      </c>
      <c r="W28" s="33" t="s">
        <v>214</v>
      </c>
      <c r="X28" s="33" t="s">
        <v>214</v>
      </c>
      <c r="Y28" s="33" t="s">
        <v>214</v>
      </c>
      <c r="Z28" s="33" t="s">
        <v>214</v>
      </c>
      <c r="AA28" s="33" t="s">
        <v>214</v>
      </c>
      <c r="AB28" s="33" t="s">
        <v>214</v>
      </c>
      <c r="AC28" s="33" t="s">
        <v>214</v>
      </c>
      <c r="AD28" s="33"/>
      <c r="AE28" s="37">
        <f>SUM(Table14[[#This Row],[Autumn Week 1]:[Spring Week 12]])</f>
        <v>33</v>
      </c>
    </row>
    <row r="29" spans="1:31">
      <c r="A29" s="4" t="s">
        <v>8</v>
      </c>
      <c r="B29" s="2" t="s">
        <v>9</v>
      </c>
      <c r="C29" s="11" t="s">
        <v>217</v>
      </c>
      <c r="D29" s="29">
        <f>INDEX(Table2[Credits],MATCH(Table14[[#This Row],[Module Code]],Table2[Module Code],0))</f>
        <v>10</v>
      </c>
      <c r="E29" s="29" t="str">
        <f>INDEX(Table2[Semester],MATCH(Table14[[#This Row],[Module Code]],Table2[Module Code],0))</f>
        <v>SEM1</v>
      </c>
      <c r="F29" s="11">
        <f>INDEX(Table2[Contact Time],MATCH(Table14[[#This Row],[Module Code]],Table2[Module Code],0))</f>
        <v>2</v>
      </c>
      <c r="G29" s="31">
        <v>2</v>
      </c>
      <c r="H29" s="31">
        <v>2</v>
      </c>
      <c r="I29" s="31">
        <v>2</v>
      </c>
      <c r="J29" s="31">
        <v>2</v>
      </c>
      <c r="K29" s="31">
        <v>2</v>
      </c>
      <c r="L29" s="31">
        <v>2</v>
      </c>
      <c r="M29" s="31">
        <v>2</v>
      </c>
      <c r="N29" s="31">
        <v>2</v>
      </c>
      <c r="O29" s="31">
        <v>2</v>
      </c>
      <c r="P29" s="31">
        <v>2</v>
      </c>
      <c r="Q29" s="31">
        <v>2</v>
      </c>
      <c r="R29" s="35"/>
      <c r="S29" s="33" t="s">
        <v>214</v>
      </c>
      <c r="T29" s="33" t="s">
        <v>214</v>
      </c>
      <c r="U29" s="33" t="s">
        <v>214</v>
      </c>
      <c r="V29" s="33" t="s">
        <v>214</v>
      </c>
      <c r="W29" s="33" t="s">
        <v>214</v>
      </c>
      <c r="X29" s="33" t="s">
        <v>214</v>
      </c>
      <c r="Y29" s="33" t="s">
        <v>214</v>
      </c>
      <c r="Z29" s="33" t="s">
        <v>214</v>
      </c>
      <c r="AA29" s="33" t="s">
        <v>214</v>
      </c>
      <c r="AB29" s="33" t="s">
        <v>214</v>
      </c>
      <c r="AC29" s="33" t="s">
        <v>214</v>
      </c>
      <c r="AD29" s="33"/>
      <c r="AE29" s="37">
        <f>SUM(Table14[[#This Row],[Autumn Week 1]:[Spring Week 12]])</f>
        <v>22</v>
      </c>
    </row>
    <row r="30" spans="1:31">
      <c r="A30" s="4" t="s">
        <v>10</v>
      </c>
      <c r="B30" s="2" t="s">
        <v>11</v>
      </c>
      <c r="C30" s="11" t="s">
        <v>218</v>
      </c>
      <c r="D30" s="29">
        <f>INDEX(Table2[Credits],MATCH(Table14[[#This Row],[Module Code]],Table2[Module Code],0))</f>
        <v>10</v>
      </c>
      <c r="E30" s="29" t="str">
        <f>INDEX(Table2[Semester],MATCH(Table14[[#This Row],[Module Code]],Table2[Module Code],0))</f>
        <v>SEM1</v>
      </c>
      <c r="F30" s="11">
        <f>INDEX(Table2[Contact Time],MATCH(Table14[[#This Row],[Module Code]],Table2[Module Code],0))</f>
        <v>2</v>
      </c>
      <c r="G30" s="31">
        <v>2</v>
      </c>
      <c r="H30" s="31">
        <v>2</v>
      </c>
      <c r="I30" s="31">
        <v>2</v>
      </c>
      <c r="J30" s="31">
        <v>2</v>
      </c>
      <c r="K30" s="31">
        <v>2</v>
      </c>
      <c r="L30" s="31">
        <v>2</v>
      </c>
      <c r="M30" s="31">
        <v>2</v>
      </c>
      <c r="N30" s="31">
        <v>2</v>
      </c>
      <c r="O30" s="31">
        <v>2</v>
      </c>
      <c r="P30" s="31">
        <v>2</v>
      </c>
      <c r="Q30" s="31">
        <v>2</v>
      </c>
      <c r="R30" s="35"/>
      <c r="S30" s="33" t="s">
        <v>214</v>
      </c>
      <c r="T30" s="33" t="s">
        <v>214</v>
      </c>
      <c r="U30" s="33" t="s">
        <v>214</v>
      </c>
      <c r="V30" s="33" t="s">
        <v>214</v>
      </c>
      <c r="W30" s="33" t="s">
        <v>214</v>
      </c>
      <c r="X30" s="33" t="s">
        <v>214</v>
      </c>
      <c r="Y30" s="33" t="s">
        <v>214</v>
      </c>
      <c r="Z30" s="33" t="s">
        <v>214</v>
      </c>
      <c r="AA30" s="33" t="s">
        <v>214</v>
      </c>
      <c r="AB30" s="33" t="s">
        <v>214</v>
      </c>
      <c r="AC30" s="33" t="s">
        <v>214</v>
      </c>
      <c r="AD30" s="33"/>
      <c r="AE30" s="37">
        <f>SUM(Table14[[#This Row],[Autumn Week 1]:[Spring Week 12]])</f>
        <v>22</v>
      </c>
    </row>
    <row r="31" spans="1:31">
      <c r="A31" s="4" t="s">
        <v>14</v>
      </c>
      <c r="B31" s="2" t="s">
        <v>13</v>
      </c>
      <c r="C31" s="11" t="s">
        <v>217</v>
      </c>
      <c r="D31" s="29">
        <f>INDEX(Table2[Credits],MATCH(Table14[[#This Row],[Module Code]],Table2[Module Code],0))</f>
        <v>10</v>
      </c>
      <c r="E31" s="29" t="str">
        <f>INDEX(Table2[Semester],MATCH(Table14[[#This Row],[Module Code]],Table2[Module Code],0))</f>
        <v>SEM1</v>
      </c>
      <c r="F31" s="11">
        <f>INDEX(Table2[Contact Time],MATCH(Table14[[#This Row],[Module Code]],Table2[Module Code],0))</f>
        <v>2</v>
      </c>
      <c r="G31" s="31">
        <v>2</v>
      </c>
      <c r="H31" s="31">
        <v>2</v>
      </c>
      <c r="I31" s="31">
        <v>2</v>
      </c>
      <c r="J31" s="31">
        <v>2</v>
      </c>
      <c r="K31" s="31">
        <v>2</v>
      </c>
      <c r="L31" s="31">
        <v>2</v>
      </c>
      <c r="M31" s="31">
        <v>2</v>
      </c>
      <c r="N31" s="31">
        <v>2</v>
      </c>
      <c r="O31" s="31">
        <v>2</v>
      </c>
      <c r="P31" s="31">
        <v>2</v>
      </c>
      <c r="Q31" s="31">
        <v>2</v>
      </c>
      <c r="R31" s="35"/>
      <c r="S31" s="33" t="s">
        <v>214</v>
      </c>
      <c r="T31" s="33" t="s">
        <v>214</v>
      </c>
      <c r="U31" s="33" t="s">
        <v>214</v>
      </c>
      <c r="V31" s="33" t="s">
        <v>214</v>
      </c>
      <c r="W31" s="33" t="s">
        <v>214</v>
      </c>
      <c r="X31" s="33" t="s">
        <v>214</v>
      </c>
      <c r="Y31" s="33" t="s">
        <v>214</v>
      </c>
      <c r="Z31" s="33" t="s">
        <v>214</v>
      </c>
      <c r="AA31" s="33" t="s">
        <v>214</v>
      </c>
      <c r="AB31" s="33" t="s">
        <v>214</v>
      </c>
      <c r="AC31" s="33" t="s">
        <v>214</v>
      </c>
      <c r="AD31" s="33"/>
      <c r="AE31" s="37">
        <f>SUM(Table14[[#This Row],[Autumn Week 1]:[Spring Week 12]])</f>
        <v>22</v>
      </c>
    </row>
    <row r="32" spans="1:31">
      <c r="A32" s="4" t="s">
        <v>15</v>
      </c>
      <c r="B32" s="2" t="s">
        <v>145</v>
      </c>
      <c r="C32" s="11" t="s">
        <v>218</v>
      </c>
      <c r="D32" s="29">
        <f>INDEX(Table2[Credits],MATCH(Table14[[#This Row],[Module Code]],Table2[Module Code],0))</f>
        <v>10</v>
      </c>
      <c r="E32" s="29" t="str">
        <f>INDEX(Table2[Semester],MATCH(Table14[[#This Row],[Module Code]],Table2[Module Code],0))</f>
        <v>SEM1</v>
      </c>
      <c r="F32" s="11">
        <f>INDEX(Table2[Contact Time],MATCH(Table14[[#This Row],[Module Code]],Table2[Module Code],0))</f>
        <v>2</v>
      </c>
      <c r="G32" s="31">
        <v>2</v>
      </c>
      <c r="H32" s="31">
        <v>2</v>
      </c>
      <c r="I32" s="31">
        <v>2</v>
      </c>
      <c r="J32" s="31">
        <v>2</v>
      </c>
      <c r="K32" s="31">
        <v>2</v>
      </c>
      <c r="L32" s="31">
        <v>2</v>
      </c>
      <c r="M32" s="31">
        <v>2</v>
      </c>
      <c r="N32" s="31">
        <v>2</v>
      </c>
      <c r="O32" s="31">
        <v>2</v>
      </c>
      <c r="P32" s="31">
        <v>2</v>
      </c>
      <c r="Q32" s="31">
        <v>2</v>
      </c>
      <c r="R32" s="35"/>
      <c r="S32" s="33" t="s">
        <v>214</v>
      </c>
      <c r="T32" s="33" t="s">
        <v>214</v>
      </c>
      <c r="U32" s="33" t="s">
        <v>214</v>
      </c>
      <c r="V32" s="33" t="s">
        <v>214</v>
      </c>
      <c r="W32" s="33" t="s">
        <v>214</v>
      </c>
      <c r="X32" s="33" t="s">
        <v>214</v>
      </c>
      <c r="Y32" s="33" t="s">
        <v>214</v>
      </c>
      <c r="Z32" s="33" t="s">
        <v>214</v>
      </c>
      <c r="AA32" s="33" t="s">
        <v>214</v>
      </c>
      <c r="AB32" s="33" t="s">
        <v>214</v>
      </c>
      <c r="AC32" s="33" t="s">
        <v>214</v>
      </c>
      <c r="AD32" s="33"/>
      <c r="AE32" s="37">
        <f>SUM(Table14[[#This Row],[Autumn Week 1]:[Spring Week 12]])</f>
        <v>22</v>
      </c>
    </row>
    <row r="33" spans="1:31">
      <c r="A33" s="4" t="s">
        <v>16</v>
      </c>
      <c r="B33" s="2" t="s">
        <v>17</v>
      </c>
      <c r="C33" s="11" t="s">
        <v>218</v>
      </c>
      <c r="D33" s="29">
        <f>INDEX(Table2[Credits],MATCH(Table14[[#This Row],[Module Code]],Table2[Module Code],0))</f>
        <v>10</v>
      </c>
      <c r="E33" s="29" t="str">
        <f>INDEX(Table2[Semester],MATCH(Table14[[#This Row],[Module Code]],Table2[Module Code],0))</f>
        <v>SEM1</v>
      </c>
      <c r="F33" s="11">
        <f>INDEX(Table2[Contact Time],MATCH(Table14[[#This Row],[Module Code]],Table2[Module Code],0))</f>
        <v>2</v>
      </c>
      <c r="G33" s="31">
        <v>2</v>
      </c>
      <c r="H33" s="31">
        <v>2</v>
      </c>
      <c r="I33" s="31">
        <v>2</v>
      </c>
      <c r="J33" s="31">
        <v>2</v>
      </c>
      <c r="K33" s="31">
        <v>2</v>
      </c>
      <c r="L33" s="31">
        <v>2</v>
      </c>
      <c r="M33" s="31">
        <v>2</v>
      </c>
      <c r="N33" s="31">
        <v>2</v>
      </c>
      <c r="O33" s="31">
        <v>2</v>
      </c>
      <c r="P33" s="31">
        <v>2</v>
      </c>
      <c r="Q33" s="31">
        <v>2</v>
      </c>
      <c r="R33" s="35"/>
      <c r="S33" s="33" t="s">
        <v>214</v>
      </c>
      <c r="T33" s="33" t="s">
        <v>214</v>
      </c>
      <c r="U33" s="33" t="s">
        <v>214</v>
      </c>
      <c r="V33" s="33" t="s">
        <v>214</v>
      </c>
      <c r="W33" s="33" t="s">
        <v>214</v>
      </c>
      <c r="X33" s="33" t="s">
        <v>214</v>
      </c>
      <c r="Y33" s="33" t="s">
        <v>214</v>
      </c>
      <c r="Z33" s="33" t="s">
        <v>214</v>
      </c>
      <c r="AA33" s="33" t="s">
        <v>214</v>
      </c>
      <c r="AB33" s="33" t="s">
        <v>214</v>
      </c>
      <c r="AC33" s="33" t="s">
        <v>214</v>
      </c>
      <c r="AD33" s="33"/>
      <c r="AE33" s="37">
        <f>SUM(Table14[[#This Row],[Autumn Week 1]:[Spring Week 12]])</f>
        <v>22</v>
      </c>
    </row>
    <row r="34" spans="1:31" ht="14.65" customHeight="1">
      <c r="A34" s="4" t="s">
        <v>18</v>
      </c>
      <c r="B34" s="2" t="s">
        <v>19</v>
      </c>
      <c r="C34" s="11" t="s">
        <v>218</v>
      </c>
      <c r="D34" s="29">
        <f>INDEX(Table2[Credits],MATCH(Table14[[#This Row],[Module Code]],Table2[Module Code],0))</f>
        <v>10</v>
      </c>
      <c r="E34" s="29" t="str">
        <f>INDEX(Table2[Semester],MATCH(Table14[[#This Row],[Module Code]],Table2[Module Code],0))</f>
        <v>SEM1</v>
      </c>
      <c r="F34" s="11">
        <f>INDEX(Table2[Contact Time],MATCH(Table14[[#This Row],[Module Code]],Table2[Module Code],0))</f>
        <v>2</v>
      </c>
      <c r="G34" s="31">
        <v>2</v>
      </c>
      <c r="H34" s="31">
        <v>2</v>
      </c>
      <c r="I34" s="31">
        <v>2</v>
      </c>
      <c r="J34" s="31">
        <v>2</v>
      </c>
      <c r="K34" s="31">
        <v>2</v>
      </c>
      <c r="L34" s="31">
        <v>2</v>
      </c>
      <c r="M34" s="31">
        <v>2</v>
      </c>
      <c r="N34" s="31">
        <v>2</v>
      </c>
      <c r="O34" s="31">
        <v>2</v>
      </c>
      <c r="P34" s="31">
        <v>2</v>
      </c>
      <c r="Q34" s="31">
        <v>2</v>
      </c>
      <c r="R34" s="35"/>
      <c r="S34" s="33" t="s">
        <v>214</v>
      </c>
      <c r="T34" s="33" t="s">
        <v>214</v>
      </c>
      <c r="U34" s="33" t="s">
        <v>214</v>
      </c>
      <c r="V34" s="33" t="s">
        <v>214</v>
      </c>
      <c r="W34" s="33" t="s">
        <v>214</v>
      </c>
      <c r="X34" s="33" t="s">
        <v>214</v>
      </c>
      <c r="Y34" s="33" t="s">
        <v>214</v>
      </c>
      <c r="Z34" s="33" t="s">
        <v>214</v>
      </c>
      <c r="AA34" s="33" t="s">
        <v>214</v>
      </c>
      <c r="AB34" s="33" t="s">
        <v>214</v>
      </c>
      <c r="AC34" s="33" t="s">
        <v>214</v>
      </c>
      <c r="AD34" s="33"/>
      <c r="AE34" s="37">
        <f>SUM(Table14[[#This Row],[Autumn Week 1]:[Spring Week 12]])</f>
        <v>22</v>
      </c>
    </row>
    <row r="35" spans="1:31">
      <c r="A35" s="4" t="s">
        <v>24</v>
      </c>
      <c r="B35" s="2" t="s">
        <v>20</v>
      </c>
      <c r="C35" s="11" t="s">
        <v>217</v>
      </c>
      <c r="D35" s="29">
        <f>INDEX(Table2[Credits],MATCH(Table14[[#This Row],[Module Code]],Table2[Module Code],0))</f>
        <v>10</v>
      </c>
      <c r="E35" s="29" t="str">
        <f>INDEX(Table2[Semester],MATCH(Table14[[#This Row],[Module Code]],Table2[Module Code],0))</f>
        <v>SEM1</v>
      </c>
      <c r="F35" s="11">
        <f>INDEX(Table2[Contact Time],MATCH(Table14[[#This Row],[Module Code]],Table2[Module Code],0))</f>
        <v>3</v>
      </c>
      <c r="G35" s="31">
        <v>3</v>
      </c>
      <c r="H35" s="31">
        <v>3</v>
      </c>
      <c r="I35" s="31">
        <v>3</v>
      </c>
      <c r="J35" s="31">
        <v>3</v>
      </c>
      <c r="K35" s="31">
        <v>3</v>
      </c>
      <c r="L35" s="31">
        <v>3</v>
      </c>
      <c r="M35" s="31">
        <v>3</v>
      </c>
      <c r="N35" s="31">
        <v>3</v>
      </c>
      <c r="O35" s="31">
        <v>3</v>
      </c>
      <c r="P35" s="31">
        <v>3</v>
      </c>
      <c r="Q35" s="31">
        <v>3</v>
      </c>
      <c r="R35" s="32"/>
      <c r="S35" s="33" t="s">
        <v>214</v>
      </c>
      <c r="T35" s="33" t="s">
        <v>214</v>
      </c>
      <c r="U35" s="33" t="s">
        <v>214</v>
      </c>
      <c r="V35" s="33" t="s">
        <v>214</v>
      </c>
      <c r="W35" s="33" t="s">
        <v>214</v>
      </c>
      <c r="X35" s="33" t="s">
        <v>214</v>
      </c>
      <c r="Y35" s="33" t="s">
        <v>214</v>
      </c>
      <c r="Z35" s="33" t="s">
        <v>214</v>
      </c>
      <c r="AA35" s="33" t="s">
        <v>214</v>
      </c>
      <c r="AB35" s="33" t="s">
        <v>214</v>
      </c>
      <c r="AC35" s="33" t="s">
        <v>214</v>
      </c>
      <c r="AD35" s="33"/>
      <c r="AE35" s="37">
        <f>SUM(Table14[[#This Row],[Autumn Week 1]:[Spring Week 12]])</f>
        <v>33</v>
      </c>
    </row>
    <row r="36" spans="1:31">
      <c r="A36" s="8" t="s">
        <v>21</v>
      </c>
      <c r="B36" s="2" t="s">
        <v>22</v>
      </c>
      <c r="C36" s="11" t="s">
        <v>218</v>
      </c>
      <c r="D36" s="29">
        <f>INDEX(Table2[Credits],MATCH(Table14[[#This Row],[Module Code]],Table2[Module Code],0))</f>
        <v>10</v>
      </c>
      <c r="E36" s="29" t="str">
        <f>INDEX(Table2[Semester],MATCH(Table14[[#This Row],[Module Code]],Table2[Module Code],0))</f>
        <v>SEM1</v>
      </c>
      <c r="F36" s="11">
        <f>INDEX(Table2[Contact Time],MATCH(Table14[[#This Row],[Module Code]],Table2[Module Code],0))</f>
        <v>2</v>
      </c>
      <c r="G36" s="31">
        <v>2</v>
      </c>
      <c r="H36" s="31">
        <v>2</v>
      </c>
      <c r="I36" s="31">
        <v>2</v>
      </c>
      <c r="J36" s="31">
        <v>2</v>
      </c>
      <c r="K36" s="31">
        <v>2</v>
      </c>
      <c r="L36" s="31">
        <v>2</v>
      </c>
      <c r="M36" s="31">
        <v>2</v>
      </c>
      <c r="N36" s="31">
        <v>2</v>
      </c>
      <c r="O36" s="31">
        <v>2</v>
      </c>
      <c r="P36" s="31">
        <v>2</v>
      </c>
      <c r="Q36" s="31">
        <v>2</v>
      </c>
      <c r="R36" s="35"/>
      <c r="S36" s="33" t="s">
        <v>214</v>
      </c>
      <c r="T36" s="33" t="s">
        <v>214</v>
      </c>
      <c r="U36" s="33" t="s">
        <v>214</v>
      </c>
      <c r="V36" s="33" t="s">
        <v>214</v>
      </c>
      <c r="W36" s="33" t="s">
        <v>214</v>
      </c>
      <c r="X36" s="33" t="s">
        <v>214</v>
      </c>
      <c r="Y36" s="33" t="s">
        <v>214</v>
      </c>
      <c r="Z36" s="33" t="s">
        <v>214</v>
      </c>
      <c r="AA36" s="33" t="s">
        <v>214</v>
      </c>
      <c r="AB36" s="33" t="s">
        <v>214</v>
      </c>
      <c r="AC36" s="33" t="s">
        <v>214</v>
      </c>
      <c r="AD36" s="33"/>
      <c r="AE36" s="37">
        <f>SUM(Table14[[#This Row],[Autumn Week 1]:[Spring Week 12]])</f>
        <v>22</v>
      </c>
    </row>
    <row r="37" spans="1:31">
      <c r="A37" s="3" t="s">
        <v>106</v>
      </c>
      <c r="B37" s="3" t="s">
        <v>96</v>
      </c>
      <c r="C37" s="11" t="s">
        <v>218</v>
      </c>
      <c r="D37" s="29">
        <f>INDEX(Table2[Credits],MATCH(Table14[[#This Row],[Module Code]],Table2[Module Code],0))</f>
        <v>20</v>
      </c>
      <c r="E37" s="29" t="str">
        <f>INDEX(Table2[Semester],MATCH(Table14[[#This Row],[Module Code]],Table2[Module Code],0))</f>
        <v>SEM2</v>
      </c>
      <c r="F37" s="11">
        <f>INDEX(Table2[Contact Time],MATCH(Table14[[#This Row],[Module Code]],Table2[Module Code],0))</f>
        <v>4</v>
      </c>
      <c r="G37" s="31" t="s">
        <v>214</v>
      </c>
      <c r="H37" s="31" t="s">
        <v>214</v>
      </c>
      <c r="I37" s="31" t="s">
        <v>214</v>
      </c>
      <c r="J37" s="31" t="s">
        <v>214</v>
      </c>
      <c r="K37" s="31" t="s">
        <v>214</v>
      </c>
      <c r="L37" s="31" t="s">
        <v>214</v>
      </c>
      <c r="M37" s="31" t="s">
        <v>214</v>
      </c>
      <c r="N37" s="31" t="s">
        <v>214</v>
      </c>
      <c r="O37" s="31" t="s">
        <v>214</v>
      </c>
      <c r="P37" s="31" t="s">
        <v>214</v>
      </c>
      <c r="Q37" s="31" t="s">
        <v>214</v>
      </c>
      <c r="R37" s="32"/>
      <c r="S37" s="33">
        <v>4</v>
      </c>
      <c r="T37" s="33">
        <v>4</v>
      </c>
      <c r="U37" s="33">
        <v>4</v>
      </c>
      <c r="V37" s="33">
        <v>4</v>
      </c>
      <c r="W37" s="33">
        <v>4</v>
      </c>
      <c r="X37" s="33">
        <v>4</v>
      </c>
      <c r="Y37" s="33">
        <v>4</v>
      </c>
      <c r="Z37" s="33">
        <v>4</v>
      </c>
      <c r="AA37" s="33">
        <v>4</v>
      </c>
      <c r="AB37" s="33">
        <v>4</v>
      </c>
      <c r="AC37" s="33">
        <v>4</v>
      </c>
      <c r="AD37" s="33"/>
      <c r="AE37" s="37">
        <f>SUM(Table14[[#This Row],[Autumn Week 1]:[Spring Week 12]])</f>
        <v>44</v>
      </c>
    </row>
    <row r="38" spans="1:31">
      <c r="A38" s="3" t="s">
        <v>188</v>
      </c>
      <c r="B38" s="3" t="s">
        <v>97</v>
      </c>
      <c r="C38" s="12" t="s">
        <v>218</v>
      </c>
      <c r="D38" s="29">
        <f>INDEX(Table2[Credits],MATCH(Table14[[#This Row],[Module Code]],Table2[Module Code],0))</f>
        <v>10</v>
      </c>
      <c r="E38" s="29" t="str">
        <f>INDEX(Table2[Semester],MATCH(Table14[[#This Row],[Module Code]],Table2[Module Code],0))</f>
        <v>SEM2</v>
      </c>
      <c r="F38" s="11">
        <f>INDEX(Table2[Contact Time],MATCH(Table14[[#This Row],[Module Code]],Table2[Module Code],0))</f>
        <v>2</v>
      </c>
      <c r="G38" s="31" t="s">
        <v>214</v>
      </c>
      <c r="H38" s="31" t="s">
        <v>214</v>
      </c>
      <c r="I38" s="31" t="s">
        <v>214</v>
      </c>
      <c r="J38" s="31" t="s">
        <v>214</v>
      </c>
      <c r="K38" s="31" t="s">
        <v>214</v>
      </c>
      <c r="L38" s="31" t="s">
        <v>214</v>
      </c>
      <c r="M38" s="31" t="s">
        <v>214</v>
      </c>
      <c r="N38" s="31" t="s">
        <v>214</v>
      </c>
      <c r="O38" s="31" t="s">
        <v>214</v>
      </c>
      <c r="P38" s="31" t="s">
        <v>214</v>
      </c>
      <c r="Q38" s="31" t="s">
        <v>214</v>
      </c>
      <c r="R38" s="32"/>
      <c r="S38" s="33">
        <v>2</v>
      </c>
      <c r="T38" s="33">
        <v>2</v>
      </c>
      <c r="U38" s="33">
        <v>2</v>
      </c>
      <c r="V38" s="33">
        <v>2</v>
      </c>
      <c r="W38" s="33">
        <v>2</v>
      </c>
      <c r="X38" s="33">
        <v>2</v>
      </c>
      <c r="Y38" s="33">
        <v>2</v>
      </c>
      <c r="Z38" s="33">
        <v>2</v>
      </c>
      <c r="AA38" s="33">
        <v>2</v>
      </c>
      <c r="AB38" s="33">
        <v>2</v>
      </c>
      <c r="AC38" s="33">
        <v>2</v>
      </c>
      <c r="AD38" s="33"/>
      <c r="AE38" s="37">
        <f>SUM(Table14[[#This Row],[Autumn Week 1]:[Spring Week 12]])</f>
        <v>22</v>
      </c>
    </row>
    <row r="39" spans="1:31">
      <c r="A39" s="3" t="s">
        <v>189</v>
      </c>
      <c r="B39" s="3" t="s">
        <v>98</v>
      </c>
      <c r="C39" s="12" t="s">
        <v>218</v>
      </c>
      <c r="D39" s="29">
        <f>INDEX(Table2[Credits],MATCH(Table14[[#This Row],[Module Code]],Table2[Module Code],0))</f>
        <v>10</v>
      </c>
      <c r="E39" s="29" t="str">
        <f>INDEX(Table2[Semester],MATCH(Table14[[#This Row],[Module Code]],Table2[Module Code],0))</f>
        <v>SEM2</v>
      </c>
      <c r="F39" s="11">
        <f>INDEX(Table2[Contact Time],MATCH(Table14[[#This Row],[Module Code]],Table2[Module Code],0))</f>
        <v>2</v>
      </c>
      <c r="G39" s="31" t="s">
        <v>214</v>
      </c>
      <c r="H39" s="31" t="s">
        <v>214</v>
      </c>
      <c r="I39" s="31" t="s">
        <v>214</v>
      </c>
      <c r="J39" s="31" t="s">
        <v>214</v>
      </c>
      <c r="K39" s="31" t="s">
        <v>214</v>
      </c>
      <c r="L39" s="31" t="s">
        <v>214</v>
      </c>
      <c r="M39" s="31" t="s">
        <v>214</v>
      </c>
      <c r="N39" s="31" t="s">
        <v>214</v>
      </c>
      <c r="O39" s="31" t="s">
        <v>214</v>
      </c>
      <c r="P39" s="31" t="s">
        <v>214</v>
      </c>
      <c r="Q39" s="31" t="s">
        <v>214</v>
      </c>
      <c r="R39" s="32"/>
      <c r="S39" s="33">
        <v>2</v>
      </c>
      <c r="T39" s="33">
        <v>2</v>
      </c>
      <c r="U39" s="33">
        <v>2</v>
      </c>
      <c r="V39" s="33">
        <v>2</v>
      </c>
      <c r="W39" s="33">
        <v>2</v>
      </c>
      <c r="X39" s="33">
        <v>2</v>
      </c>
      <c r="Y39" s="33">
        <v>2</v>
      </c>
      <c r="Z39" s="33">
        <v>2</v>
      </c>
      <c r="AA39" s="33">
        <v>2</v>
      </c>
      <c r="AB39" s="33">
        <v>2</v>
      </c>
      <c r="AC39" s="33">
        <v>2</v>
      </c>
      <c r="AD39" s="33"/>
      <c r="AE39" s="37">
        <f>SUM(Table14[[#This Row],[Autumn Week 1]:[Spring Week 12]])</f>
        <v>22</v>
      </c>
    </row>
    <row r="40" spans="1:31">
      <c r="A40" s="3" t="s">
        <v>109</v>
      </c>
      <c r="B40" s="3" t="s">
        <v>99</v>
      </c>
      <c r="C40" s="12" t="s">
        <v>217</v>
      </c>
      <c r="D40" s="29">
        <f>INDEX(Table2[Credits],MATCH(Table14[[#This Row],[Module Code]],Table2[Module Code],0))</f>
        <v>10</v>
      </c>
      <c r="E40" s="29" t="str">
        <f>INDEX(Table2[Semester],MATCH(Table14[[#This Row],[Module Code]],Table2[Module Code],0))</f>
        <v>SEM2</v>
      </c>
      <c r="F40" s="11">
        <f>INDEX(Table2[Contact Time],MATCH(Table14[[#This Row],[Module Code]],Table2[Module Code],0))</f>
        <v>2</v>
      </c>
      <c r="G40" s="31" t="s">
        <v>214</v>
      </c>
      <c r="H40" s="31" t="s">
        <v>214</v>
      </c>
      <c r="I40" s="31" t="s">
        <v>214</v>
      </c>
      <c r="J40" s="31" t="s">
        <v>214</v>
      </c>
      <c r="K40" s="31" t="s">
        <v>214</v>
      </c>
      <c r="L40" s="31" t="s">
        <v>214</v>
      </c>
      <c r="M40" s="31" t="s">
        <v>214</v>
      </c>
      <c r="N40" s="31" t="s">
        <v>214</v>
      </c>
      <c r="O40" s="31" t="s">
        <v>214</v>
      </c>
      <c r="P40" s="31" t="s">
        <v>214</v>
      </c>
      <c r="Q40" s="31" t="s">
        <v>214</v>
      </c>
      <c r="R40" s="32"/>
      <c r="S40" s="33">
        <v>2</v>
      </c>
      <c r="T40" s="33">
        <v>2</v>
      </c>
      <c r="U40" s="33">
        <v>2</v>
      </c>
      <c r="V40" s="33">
        <v>2</v>
      </c>
      <c r="W40" s="33">
        <v>2</v>
      </c>
      <c r="X40" s="33">
        <v>2</v>
      </c>
      <c r="Y40" s="33">
        <v>2</v>
      </c>
      <c r="Z40" s="33">
        <v>2</v>
      </c>
      <c r="AA40" s="33">
        <v>2</v>
      </c>
      <c r="AB40" s="33">
        <v>2</v>
      </c>
      <c r="AC40" s="33">
        <v>2</v>
      </c>
      <c r="AD40" s="33"/>
      <c r="AE40" s="37">
        <f>SUM(Table14[[#This Row],[Autumn Week 1]:[Spring Week 12]])</f>
        <v>22</v>
      </c>
    </row>
    <row r="41" spans="1:31">
      <c r="A41" s="3" t="s">
        <v>100</v>
      </c>
      <c r="B41" s="3" t="s">
        <v>101</v>
      </c>
      <c r="C41" s="12" t="s">
        <v>218</v>
      </c>
      <c r="D41" s="29">
        <f>INDEX(Table2[Credits],MATCH(Table14[[#This Row],[Module Code]],Table2[Module Code],0))</f>
        <v>10</v>
      </c>
      <c r="E41" s="29" t="str">
        <f>INDEX(Table2[Semester],MATCH(Table14[[#This Row],[Module Code]],Table2[Module Code],0))</f>
        <v>SEM2</v>
      </c>
      <c r="F41" s="11">
        <f>INDEX(Table2[Contact Time],MATCH(Table14[[#This Row],[Module Code]],Table2[Module Code],0))</f>
        <v>2</v>
      </c>
      <c r="G41" s="31" t="s">
        <v>214</v>
      </c>
      <c r="H41" s="31" t="s">
        <v>214</v>
      </c>
      <c r="I41" s="31" t="s">
        <v>214</v>
      </c>
      <c r="J41" s="31" t="s">
        <v>214</v>
      </c>
      <c r="K41" s="31" t="s">
        <v>214</v>
      </c>
      <c r="L41" s="31" t="s">
        <v>214</v>
      </c>
      <c r="M41" s="31" t="s">
        <v>214</v>
      </c>
      <c r="N41" s="31" t="s">
        <v>214</v>
      </c>
      <c r="O41" s="31" t="s">
        <v>214</v>
      </c>
      <c r="P41" s="31" t="s">
        <v>214</v>
      </c>
      <c r="Q41" s="31" t="s">
        <v>214</v>
      </c>
      <c r="R41" s="32"/>
      <c r="S41" s="33">
        <v>2</v>
      </c>
      <c r="T41" s="33">
        <v>2</v>
      </c>
      <c r="U41" s="33">
        <v>2</v>
      </c>
      <c r="V41" s="33">
        <v>2</v>
      </c>
      <c r="W41" s="33">
        <v>2</v>
      </c>
      <c r="X41" s="33">
        <v>2</v>
      </c>
      <c r="Y41" s="33">
        <v>2</v>
      </c>
      <c r="Z41" s="33">
        <v>2</v>
      </c>
      <c r="AA41" s="33">
        <v>2</v>
      </c>
      <c r="AB41" s="33">
        <v>2</v>
      </c>
      <c r="AC41" s="33">
        <v>2</v>
      </c>
      <c r="AD41" s="33"/>
      <c r="AE41" s="37">
        <f>SUM(Table14[[#This Row],[Autumn Week 1]:[Spring Week 12]])</f>
        <v>22</v>
      </c>
    </row>
    <row r="42" spans="1:31">
      <c r="A42" s="3" t="s">
        <v>102</v>
      </c>
      <c r="B42" s="3" t="s">
        <v>103</v>
      </c>
      <c r="C42" s="12" t="s">
        <v>218</v>
      </c>
      <c r="D42" s="29">
        <f>INDEX(Table2[Credits],MATCH(Table14[[#This Row],[Module Code]],Table2[Module Code],0))</f>
        <v>10</v>
      </c>
      <c r="E42" s="29" t="str">
        <f>INDEX(Table2[Semester],MATCH(Table14[[#This Row],[Module Code]],Table2[Module Code],0))</f>
        <v>SEM2</v>
      </c>
      <c r="F42" s="11">
        <f>INDEX(Table2[Contact Time],MATCH(Table14[[#This Row],[Module Code]],Table2[Module Code],0))</f>
        <v>2</v>
      </c>
      <c r="G42" s="31" t="s">
        <v>214</v>
      </c>
      <c r="H42" s="31" t="s">
        <v>214</v>
      </c>
      <c r="I42" s="31" t="s">
        <v>214</v>
      </c>
      <c r="J42" s="31" t="s">
        <v>214</v>
      </c>
      <c r="K42" s="31" t="s">
        <v>214</v>
      </c>
      <c r="L42" s="31" t="s">
        <v>214</v>
      </c>
      <c r="M42" s="31" t="s">
        <v>214</v>
      </c>
      <c r="N42" s="31" t="s">
        <v>214</v>
      </c>
      <c r="O42" s="31" t="s">
        <v>214</v>
      </c>
      <c r="P42" s="31" t="s">
        <v>214</v>
      </c>
      <c r="Q42" s="31" t="s">
        <v>214</v>
      </c>
      <c r="R42" s="32"/>
      <c r="S42" s="33">
        <v>2</v>
      </c>
      <c r="T42" s="33">
        <v>2</v>
      </c>
      <c r="U42" s="33">
        <v>2</v>
      </c>
      <c r="V42" s="33">
        <v>2</v>
      </c>
      <c r="W42" s="33">
        <v>2</v>
      </c>
      <c r="X42" s="33">
        <v>2</v>
      </c>
      <c r="Y42" s="33">
        <v>2</v>
      </c>
      <c r="Z42" s="33">
        <v>2</v>
      </c>
      <c r="AA42" s="33">
        <v>2</v>
      </c>
      <c r="AB42" s="33">
        <v>2</v>
      </c>
      <c r="AC42" s="33">
        <v>2</v>
      </c>
      <c r="AD42" s="33"/>
      <c r="AE42" s="37">
        <f>SUM(Table14[[#This Row],[Autumn Week 1]:[Spring Week 12]])</f>
        <v>22</v>
      </c>
    </row>
    <row r="43" spans="1:31">
      <c r="A43" s="3" t="s">
        <v>104</v>
      </c>
      <c r="B43" s="3" t="s">
        <v>105</v>
      </c>
      <c r="C43" s="12" t="s">
        <v>218</v>
      </c>
      <c r="D43" s="29">
        <f>INDEX(Table2[Credits],MATCH(Table14[[#This Row],[Module Code]],Table2[Module Code],0))</f>
        <v>10</v>
      </c>
      <c r="E43" s="29" t="str">
        <f>INDEX(Table2[Semester],MATCH(Table14[[#This Row],[Module Code]],Table2[Module Code],0))</f>
        <v>SEM2</v>
      </c>
      <c r="F43" s="11">
        <f>INDEX(Table2[Contact Time],MATCH(Table14[[#This Row],[Module Code]],Table2[Module Code],0))</f>
        <v>2</v>
      </c>
      <c r="G43" s="31" t="s">
        <v>214</v>
      </c>
      <c r="H43" s="31" t="s">
        <v>214</v>
      </c>
      <c r="I43" s="31" t="s">
        <v>214</v>
      </c>
      <c r="J43" s="31" t="s">
        <v>214</v>
      </c>
      <c r="K43" s="31" t="s">
        <v>214</v>
      </c>
      <c r="L43" s="31" t="s">
        <v>214</v>
      </c>
      <c r="M43" s="31" t="s">
        <v>214</v>
      </c>
      <c r="N43" s="31" t="s">
        <v>214</v>
      </c>
      <c r="O43" s="31" t="s">
        <v>214</v>
      </c>
      <c r="P43" s="31" t="s">
        <v>214</v>
      </c>
      <c r="Q43" s="31" t="s">
        <v>214</v>
      </c>
      <c r="R43" s="32"/>
      <c r="S43" s="33">
        <v>2</v>
      </c>
      <c r="T43" s="33">
        <v>2</v>
      </c>
      <c r="U43" s="33">
        <v>2</v>
      </c>
      <c r="V43" s="33">
        <v>2</v>
      </c>
      <c r="W43" s="33">
        <v>2</v>
      </c>
      <c r="X43" s="33">
        <v>2</v>
      </c>
      <c r="Y43" s="33">
        <v>2</v>
      </c>
      <c r="Z43" s="33">
        <v>2</v>
      </c>
      <c r="AA43" s="33">
        <v>2</v>
      </c>
      <c r="AB43" s="33">
        <v>2</v>
      </c>
      <c r="AC43" s="33">
        <v>2</v>
      </c>
      <c r="AD43" s="33"/>
      <c r="AE43" s="37">
        <f>SUM(Table14[[#This Row],[Autumn Week 1]:[Spring Week 12]])</f>
        <v>22</v>
      </c>
    </row>
    <row r="44" spans="1:31">
      <c r="A44" s="9" t="s">
        <v>47</v>
      </c>
      <c r="B44" s="2" t="s">
        <v>23</v>
      </c>
      <c r="C44" s="13" t="s">
        <v>217</v>
      </c>
      <c r="D44" s="30">
        <f>INDEX(Table2[Credits],MATCH(Table14[[#This Row],[Module Code]],Table2[Module Code],0))</f>
        <v>30</v>
      </c>
      <c r="E44" s="30" t="str">
        <f>INDEX(Table2[Semester],MATCH(Table14[[#This Row],[Module Code]],Table2[Module Code],0))</f>
        <v>SEMD</v>
      </c>
      <c r="F44" s="11">
        <f>INDEX(Table2[Contact Time],MATCH(Table14[[#This Row],[Module Code]],Table2[Module Code],0))</f>
        <v>0.5</v>
      </c>
      <c r="G44" s="11">
        <f>INDEX(Table2[Contact Time],MATCH(Table14[[#This Row],[Module Code]],Table2[Module Code],0))</f>
        <v>0.5</v>
      </c>
      <c r="H44" s="31">
        <v>1.5</v>
      </c>
      <c r="I44" s="31">
        <v>0.5</v>
      </c>
      <c r="J44" s="31">
        <v>0.5</v>
      </c>
      <c r="K44" s="31">
        <v>0.5</v>
      </c>
      <c r="L44" s="31">
        <v>0.5</v>
      </c>
      <c r="M44" s="31">
        <v>0.5</v>
      </c>
      <c r="N44" s="31">
        <v>0.5</v>
      </c>
      <c r="O44" s="31">
        <v>0.5</v>
      </c>
      <c r="P44" s="31">
        <v>0.5</v>
      </c>
      <c r="Q44" s="31">
        <v>0.5</v>
      </c>
      <c r="R44" s="31"/>
      <c r="S44" s="33">
        <v>0.5</v>
      </c>
      <c r="T44" s="33">
        <v>0.5</v>
      </c>
      <c r="U44" s="33">
        <v>0.5</v>
      </c>
      <c r="V44" s="33">
        <v>0.5</v>
      </c>
      <c r="W44" s="33">
        <v>0.5</v>
      </c>
      <c r="X44" s="33">
        <v>0.5</v>
      </c>
      <c r="Y44" s="33">
        <v>0.5</v>
      </c>
      <c r="Z44" s="33">
        <v>0.5</v>
      </c>
      <c r="AA44" s="33">
        <v>0.5</v>
      </c>
      <c r="AB44" s="33">
        <v>2</v>
      </c>
      <c r="AC44" s="33">
        <v>0.5</v>
      </c>
      <c r="AD44" s="33">
        <v>0.5</v>
      </c>
      <c r="AE44" s="37">
        <f>SUM(Table14[[#This Row],[Autumn Week 1]:[Spring Week 12]])</f>
        <v>14</v>
      </c>
    </row>
    <row r="45" spans="1:31">
      <c r="A45" s="4" t="s">
        <v>61</v>
      </c>
      <c r="B45" s="2" t="s">
        <v>62</v>
      </c>
      <c r="C45" s="11" t="s">
        <v>218</v>
      </c>
      <c r="D45" s="29">
        <f>INDEX(Table2[Credits],MATCH(Table14[[#This Row],[Module Code]],Table2[Module Code],0))</f>
        <v>10</v>
      </c>
      <c r="E45" s="29" t="str">
        <f>INDEX(Table2[Semester],MATCH(Table14[[#This Row],[Module Code]],Table2[Module Code],0))</f>
        <v>SEM1</v>
      </c>
      <c r="F45" s="11">
        <f>INDEX(Table2[Contact Time],MATCH(Table14[[#This Row],[Module Code]],Table2[Module Code],0))</f>
        <v>2</v>
      </c>
      <c r="G45" s="31">
        <v>2</v>
      </c>
      <c r="H45" s="31">
        <v>2</v>
      </c>
      <c r="I45" s="31">
        <v>2</v>
      </c>
      <c r="J45" s="31">
        <v>2</v>
      </c>
      <c r="K45" s="31">
        <v>2</v>
      </c>
      <c r="L45" s="31">
        <v>2</v>
      </c>
      <c r="M45" s="31">
        <v>2</v>
      </c>
      <c r="N45" s="31">
        <v>2</v>
      </c>
      <c r="O45" s="31">
        <v>2</v>
      </c>
      <c r="P45" s="31">
        <v>2</v>
      </c>
      <c r="Q45" s="31">
        <v>2</v>
      </c>
      <c r="R45" s="32"/>
      <c r="S45" s="33" t="s">
        <v>214</v>
      </c>
      <c r="T45" s="33" t="s">
        <v>214</v>
      </c>
      <c r="U45" s="33" t="s">
        <v>214</v>
      </c>
      <c r="V45" s="33" t="s">
        <v>214</v>
      </c>
      <c r="W45" s="33" t="s">
        <v>214</v>
      </c>
      <c r="X45" s="33" t="s">
        <v>214</v>
      </c>
      <c r="Y45" s="33" t="s">
        <v>214</v>
      </c>
      <c r="Z45" s="33" t="s">
        <v>214</v>
      </c>
      <c r="AA45" s="33" t="s">
        <v>214</v>
      </c>
      <c r="AB45" s="33" t="s">
        <v>214</v>
      </c>
      <c r="AC45" s="33" t="s">
        <v>214</v>
      </c>
      <c r="AD45" s="33"/>
      <c r="AE45" s="37">
        <f>SUM(Table14[[#This Row],[Autumn Week 1]:[Spring Week 12]])</f>
        <v>22</v>
      </c>
    </row>
    <row r="46" spans="1:31">
      <c r="A46" s="4" t="s">
        <v>238</v>
      </c>
      <c r="B46" s="2" t="s">
        <v>237</v>
      </c>
      <c r="C46" s="11" t="s">
        <v>218</v>
      </c>
      <c r="D46" s="29">
        <f>INDEX(Table2[Credits],MATCH(Table14[[#This Row],[Module Code]],Table2[Module Code],0))</f>
        <v>10</v>
      </c>
      <c r="E46" s="29" t="str">
        <f>INDEX(Table2[Semester],MATCH(Table14[[#This Row],[Module Code]],Table2[Module Code],0))</f>
        <v>SEM1</v>
      </c>
      <c r="F46" s="11">
        <f>INDEX(Table2[Contact Time],MATCH(Table14[[#This Row],[Module Code]],Table2[Module Code],0))</f>
        <v>2</v>
      </c>
      <c r="G46" s="31">
        <v>2</v>
      </c>
      <c r="H46" s="31">
        <v>2</v>
      </c>
      <c r="I46" s="31">
        <v>2</v>
      </c>
      <c r="J46" s="31">
        <v>2</v>
      </c>
      <c r="K46" s="31">
        <v>2</v>
      </c>
      <c r="L46" s="31">
        <v>2</v>
      </c>
      <c r="M46" s="31">
        <v>2</v>
      </c>
      <c r="N46" s="31">
        <v>2</v>
      </c>
      <c r="O46" s="31">
        <v>2</v>
      </c>
      <c r="P46" s="31">
        <v>2</v>
      </c>
      <c r="Q46" s="31">
        <v>2</v>
      </c>
      <c r="R46" s="32"/>
      <c r="S46" s="33" t="s">
        <v>214</v>
      </c>
      <c r="T46" s="33" t="s">
        <v>214</v>
      </c>
      <c r="U46" s="33" t="s">
        <v>214</v>
      </c>
      <c r="V46" s="33" t="s">
        <v>214</v>
      </c>
      <c r="W46" s="33" t="s">
        <v>214</v>
      </c>
      <c r="X46" s="33" t="s">
        <v>214</v>
      </c>
      <c r="Y46" s="33" t="s">
        <v>214</v>
      </c>
      <c r="Z46" s="33" t="s">
        <v>214</v>
      </c>
      <c r="AA46" s="33" t="s">
        <v>214</v>
      </c>
      <c r="AB46" s="33" t="s">
        <v>214</v>
      </c>
      <c r="AC46" s="33" t="s">
        <v>214</v>
      </c>
      <c r="AD46" s="33"/>
      <c r="AE46" s="37">
        <f>SUM(Table14[[#This Row],[Autumn Week 1]:[Spring Week 12]])</f>
        <v>22</v>
      </c>
    </row>
    <row r="47" spans="1:31">
      <c r="A47" s="4" t="s">
        <v>63</v>
      </c>
      <c r="B47" s="2" t="s">
        <v>64</v>
      </c>
      <c r="C47" s="11" t="s">
        <v>218</v>
      </c>
      <c r="D47" s="29">
        <f>INDEX(Table2[Credits],MATCH(Table14[[#This Row],[Module Code]],Table2[Module Code],0))</f>
        <v>10</v>
      </c>
      <c r="E47" s="29" t="str">
        <f>INDEX(Table2[Semester],MATCH(Table14[[#This Row],[Module Code]],Table2[Module Code],0))</f>
        <v>SEM1</v>
      </c>
      <c r="F47" s="11">
        <f>INDEX(Table2[Contact Time],MATCH(Table14[[#This Row],[Module Code]],Table2[Module Code],0))</f>
        <v>2</v>
      </c>
      <c r="G47" s="31">
        <v>2</v>
      </c>
      <c r="H47" s="31">
        <v>2</v>
      </c>
      <c r="I47" s="31">
        <v>2</v>
      </c>
      <c r="J47" s="31">
        <v>2</v>
      </c>
      <c r="K47" s="31">
        <v>2</v>
      </c>
      <c r="L47" s="31">
        <v>2</v>
      </c>
      <c r="M47" s="31">
        <v>2</v>
      </c>
      <c r="N47" s="31">
        <v>2</v>
      </c>
      <c r="O47" s="31">
        <v>2</v>
      </c>
      <c r="P47" s="31">
        <v>2</v>
      </c>
      <c r="Q47" s="31">
        <v>2</v>
      </c>
      <c r="R47" s="32"/>
      <c r="S47" s="33" t="s">
        <v>214</v>
      </c>
      <c r="T47" s="33" t="s">
        <v>214</v>
      </c>
      <c r="U47" s="33" t="s">
        <v>214</v>
      </c>
      <c r="V47" s="33" t="s">
        <v>214</v>
      </c>
      <c r="W47" s="33" t="s">
        <v>214</v>
      </c>
      <c r="X47" s="33" t="s">
        <v>214</v>
      </c>
      <c r="Y47" s="33" t="s">
        <v>214</v>
      </c>
      <c r="Z47" s="33" t="s">
        <v>214</v>
      </c>
      <c r="AA47" s="33" t="s">
        <v>214</v>
      </c>
      <c r="AB47" s="33" t="s">
        <v>214</v>
      </c>
      <c r="AC47" s="33" t="s">
        <v>214</v>
      </c>
      <c r="AD47" s="33"/>
      <c r="AE47" s="37">
        <f>SUM(Table14[[#This Row],[Autumn Week 1]:[Spring Week 12]])</f>
        <v>22</v>
      </c>
    </row>
    <row r="48" spans="1:31">
      <c r="A48" s="4" t="s">
        <v>66</v>
      </c>
      <c r="B48" s="2" t="s">
        <v>67</v>
      </c>
      <c r="C48" s="11" t="s">
        <v>218</v>
      </c>
      <c r="D48" s="29">
        <f>INDEX(Table2[Credits],MATCH(Table14[[#This Row],[Module Code]],Table2[Module Code],0))</f>
        <v>10</v>
      </c>
      <c r="E48" s="29" t="str">
        <f>INDEX(Table2[Semester],MATCH(Table14[[#This Row],[Module Code]],Table2[Module Code],0))</f>
        <v>SEM1</v>
      </c>
      <c r="F48" s="11">
        <f>INDEX(Table2[Contact Time],MATCH(Table14[[#This Row],[Module Code]],Table2[Module Code],0))</f>
        <v>3</v>
      </c>
      <c r="G48" s="31">
        <v>3</v>
      </c>
      <c r="H48" s="31">
        <v>3</v>
      </c>
      <c r="I48" s="31">
        <v>3</v>
      </c>
      <c r="J48" s="31">
        <v>3</v>
      </c>
      <c r="K48" s="31">
        <v>3</v>
      </c>
      <c r="L48" s="31">
        <v>3</v>
      </c>
      <c r="M48" s="31">
        <v>3</v>
      </c>
      <c r="N48" s="31">
        <v>3</v>
      </c>
      <c r="O48" s="31">
        <v>3</v>
      </c>
      <c r="P48" s="31">
        <v>3</v>
      </c>
      <c r="Q48" s="31">
        <v>3</v>
      </c>
      <c r="R48" s="32"/>
      <c r="S48" s="33" t="s">
        <v>214</v>
      </c>
      <c r="T48" s="33" t="s">
        <v>214</v>
      </c>
      <c r="U48" s="33" t="s">
        <v>214</v>
      </c>
      <c r="V48" s="33" t="s">
        <v>214</v>
      </c>
      <c r="W48" s="33" t="s">
        <v>214</v>
      </c>
      <c r="X48" s="33" t="s">
        <v>214</v>
      </c>
      <c r="Y48" s="33" t="s">
        <v>214</v>
      </c>
      <c r="Z48" s="33" t="s">
        <v>214</v>
      </c>
      <c r="AA48" s="33" t="s">
        <v>214</v>
      </c>
      <c r="AB48" s="33" t="s">
        <v>214</v>
      </c>
      <c r="AC48" s="33" t="s">
        <v>214</v>
      </c>
      <c r="AD48" s="33"/>
      <c r="AE48" s="37">
        <f>SUM(Table14[[#This Row],[Autumn Week 1]:[Spring Week 12]])</f>
        <v>33</v>
      </c>
    </row>
    <row r="49" spans="1:31" ht="14.65" customHeight="1">
      <c r="A49" s="4" t="s">
        <v>69</v>
      </c>
      <c r="B49" s="2" t="s">
        <v>70</v>
      </c>
      <c r="C49" s="11" t="s">
        <v>217</v>
      </c>
      <c r="D49" s="29">
        <f>INDEX(Table2[Credits],MATCH(Table14[[#This Row],[Module Code]],Table2[Module Code],0))</f>
        <v>10</v>
      </c>
      <c r="E49" s="29" t="str">
        <f>INDEX(Table2[Semester],MATCH(Table14[[#This Row],[Module Code]],Table2[Module Code],0))</f>
        <v>SEM1</v>
      </c>
      <c r="F49" s="11">
        <f>INDEX(Table2[Contact Time],MATCH(Table14[[#This Row],[Module Code]],Table2[Module Code],0))</f>
        <v>2</v>
      </c>
      <c r="G49" s="31">
        <v>2</v>
      </c>
      <c r="H49" s="31">
        <v>2</v>
      </c>
      <c r="I49" s="31">
        <v>2</v>
      </c>
      <c r="J49" s="31">
        <v>2</v>
      </c>
      <c r="K49" s="31">
        <v>2</v>
      </c>
      <c r="L49" s="31">
        <v>2</v>
      </c>
      <c r="M49" s="31">
        <v>2</v>
      </c>
      <c r="N49" s="31">
        <v>2</v>
      </c>
      <c r="O49" s="31">
        <v>2</v>
      </c>
      <c r="P49" s="31">
        <v>2</v>
      </c>
      <c r="Q49" s="31">
        <v>2</v>
      </c>
      <c r="R49" s="32"/>
      <c r="S49" s="33" t="s">
        <v>214</v>
      </c>
      <c r="T49" s="33" t="s">
        <v>214</v>
      </c>
      <c r="U49" s="33" t="s">
        <v>214</v>
      </c>
      <c r="V49" s="33" t="s">
        <v>214</v>
      </c>
      <c r="W49" s="33" t="s">
        <v>214</v>
      </c>
      <c r="X49" s="33" t="s">
        <v>214</v>
      </c>
      <c r="Y49" s="33" t="s">
        <v>214</v>
      </c>
      <c r="Z49" s="33" t="s">
        <v>214</v>
      </c>
      <c r="AA49" s="33" t="s">
        <v>214</v>
      </c>
      <c r="AB49" s="33" t="s">
        <v>214</v>
      </c>
      <c r="AC49" s="33" t="s">
        <v>214</v>
      </c>
      <c r="AD49" s="33"/>
      <c r="AE49" s="37">
        <f>SUM(Table14[[#This Row],[Autumn Week 1]:[Spring Week 12]])</f>
        <v>22</v>
      </c>
    </row>
    <row r="50" spans="1:31">
      <c r="A50" s="4" t="s">
        <v>71</v>
      </c>
      <c r="B50" s="2" t="s">
        <v>72</v>
      </c>
      <c r="C50" s="11" t="s">
        <v>218</v>
      </c>
      <c r="D50" s="29">
        <f>INDEX(Table2[Credits],MATCH(Table14[[#This Row],[Module Code]],Table2[Module Code],0))</f>
        <v>10</v>
      </c>
      <c r="E50" s="29" t="str">
        <f>INDEX(Table2[Semester],MATCH(Table14[[#This Row],[Module Code]],Table2[Module Code],0))</f>
        <v>SEM1</v>
      </c>
      <c r="F50" s="11">
        <f>INDEX(Table2[Contact Time],MATCH(Table14[[#This Row],[Module Code]],Table2[Module Code],0))</f>
        <v>2</v>
      </c>
      <c r="G50" s="31">
        <v>2</v>
      </c>
      <c r="H50" s="31">
        <v>2</v>
      </c>
      <c r="I50" s="31">
        <v>2</v>
      </c>
      <c r="J50" s="31">
        <v>2</v>
      </c>
      <c r="K50" s="31">
        <v>2</v>
      </c>
      <c r="L50" s="31">
        <v>2</v>
      </c>
      <c r="M50" s="31">
        <v>2</v>
      </c>
      <c r="N50" s="31">
        <v>2</v>
      </c>
      <c r="O50" s="31">
        <v>2</v>
      </c>
      <c r="P50" s="31">
        <v>2</v>
      </c>
      <c r="Q50" s="31">
        <v>2</v>
      </c>
      <c r="R50" s="32"/>
      <c r="S50" s="33" t="s">
        <v>214</v>
      </c>
      <c r="T50" s="33" t="s">
        <v>214</v>
      </c>
      <c r="U50" s="33" t="s">
        <v>214</v>
      </c>
      <c r="V50" s="33" t="s">
        <v>214</v>
      </c>
      <c r="W50" s="33" t="s">
        <v>214</v>
      </c>
      <c r="X50" s="33" t="s">
        <v>214</v>
      </c>
      <c r="Y50" s="33" t="s">
        <v>214</v>
      </c>
      <c r="Z50" s="33" t="s">
        <v>214</v>
      </c>
      <c r="AA50" s="33" t="s">
        <v>214</v>
      </c>
      <c r="AB50" s="33" t="s">
        <v>214</v>
      </c>
      <c r="AC50" s="33" t="s">
        <v>214</v>
      </c>
      <c r="AD50" s="33"/>
      <c r="AE50" s="37">
        <f>SUM(Table14[[#This Row],[Autumn Week 1]:[Spring Week 12]])</f>
        <v>22</v>
      </c>
    </row>
    <row r="51" spans="1:31" ht="14.65" customHeight="1">
      <c r="A51" s="3" t="s">
        <v>190</v>
      </c>
      <c r="B51" s="3" t="s">
        <v>110</v>
      </c>
      <c r="C51" s="12" t="s">
        <v>218</v>
      </c>
      <c r="D51" s="29">
        <f>INDEX(Table2[Credits],MATCH(Table14[[#This Row],[Module Code]],Table2[Module Code],0))</f>
        <v>10</v>
      </c>
      <c r="E51" s="29" t="str">
        <f>INDEX(Table2[Semester],MATCH(Table14[[#This Row],[Module Code]],Table2[Module Code],0))</f>
        <v>SEM2</v>
      </c>
      <c r="F51" s="11">
        <f>INDEX(Table2[Contact Time],MATCH(Table14[[#This Row],[Module Code]],Table2[Module Code],0))</f>
        <v>2</v>
      </c>
      <c r="G51" s="31" t="s">
        <v>214</v>
      </c>
      <c r="H51" s="31" t="s">
        <v>214</v>
      </c>
      <c r="I51" s="31" t="s">
        <v>214</v>
      </c>
      <c r="J51" s="31" t="s">
        <v>214</v>
      </c>
      <c r="K51" s="31" t="s">
        <v>214</v>
      </c>
      <c r="L51" s="31" t="s">
        <v>214</v>
      </c>
      <c r="M51" s="31" t="s">
        <v>214</v>
      </c>
      <c r="N51" s="31" t="s">
        <v>214</v>
      </c>
      <c r="O51" s="31" t="s">
        <v>214</v>
      </c>
      <c r="P51" s="31" t="s">
        <v>214</v>
      </c>
      <c r="Q51" s="31" t="s">
        <v>214</v>
      </c>
      <c r="R51" s="32"/>
      <c r="S51" s="33">
        <v>2</v>
      </c>
      <c r="T51" s="33">
        <v>2</v>
      </c>
      <c r="U51" s="33">
        <v>2</v>
      </c>
      <c r="V51" s="33">
        <v>2</v>
      </c>
      <c r="W51" s="33">
        <v>2</v>
      </c>
      <c r="X51" s="33">
        <v>2</v>
      </c>
      <c r="Y51" s="33">
        <v>2</v>
      </c>
      <c r="Z51" s="33">
        <v>2</v>
      </c>
      <c r="AA51" s="33">
        <v>2</v>
      </c>
      <c r="AB51" s="33">
        <v>2</v>
      </c>
      <c r="AC51" s="33">
        <v>2</v>
      </c>
      <c r="AD51" s="33"/>
      <c r="AE51" s="37">
        <f>SUM(Table14[[#This Row],[Autumn Week 1]:[Spring Week 12]])</f>
        <v>22</v>
      </c>
    </row>
    <row r="52" spans="1:31">
      <c r="A52" s="3" t="s">
        <v>191</v>
      </c>
      <c r="B52" s="3" t="s">
        <v>111</v>
      </c>
      <c r="C52" s="12" t="s">
        <v>218</v>
      </c>
      <c r="D52" s="29">
        <f>INDEX(Table2[Credits],MATCH(Table14[[#This Row],[Module Code]],Table2[Module Code],0))</f>
        <v>10</v>
      </c>
      <c r="E52" s="29" t="str">
        <f>INDEX(Table2[Semester],MATCH(Table14[[#This Row],[Module Code]],Table2[Module Code],0))</f>
        <v>SEM2</v>
      </c>
      <c r="F52" s="11">
        <f>INDEX(Table2[Contact Time],MATCH(Table14[[#This Row],[Module Code]],Table2[Module Code],0))</f>
        <v>2</v>
      </c>
      <c r="G52" s="31" t="s">
        <v>214</v>
      </c>
      <c r="H52" s="31" t="s">
        <v>214</v>
      </c>
      <c r="I52" s="31" t="s">
        <v>214</v>
      </c>
      <c r="J52" s="31" t="s">
        <v>214</v>
      </c>
      <c r="K52" s="31" t="s">
        <v>214</v>
      </c>
      <c r="L52" s="31" t="s">
        <v>214</v>
      </c>
      <c r="M52" s="31" t="s">
        <v>214</v>
      </c>
      <c r="N52" s="31" t="s">
        <v>214</v>
      </c>
      <c r="O52" s="31" t="s">
        <v>214</v>
      </c>
      <c r="P52" s="31" t="s">
        <v>214</v>
      </c>
      <c r="Q52" s="31" t="s">
        <v>214</v>
      </c>
      <c r="R52" s="32"/>
      <c r="S52" s="33">
        <v>2</v>
      </c>
      <c r="T52" s="33">
        <v>2</v>
      </c>
      <c r="U52" s="33">
        <v>2</v>
      </c>
      <c r="V52" s="33">
        <v>2</v>
      </c>
      <c r="W52" s="33">
        <v>2</v>
      </c>
      <c r="X52" s="33">
        <v>2</v>
      </c>
      <c r="Y52" s="33">
        <v>2</v>
      </c>
      <c r="Z52" s="33">
        <v>2</v>
      </c>
      <c r="AA52" s="33">
        <v>2</v>
      </c>
      <c r="AB52" s="33">
        <v>2</v>
      </c>
      <c r="AC52" s="33">
        <v>2</v>
      </c>
      <c r="AD52" s="33"/>
      <c r="AE52" s="37">
        <f>SUM(Table14[[#This Row],[Autumn Week 1]:[Spring Week 12]])</f>
        <v>22</v>
      </c>
    </row>
    <row r="53" spans="1:31">
      <c r="A53" s="3" t="s">
        <v>192</v>
      </c>
      <c r="B53" s="3" t="s">
        <v>112</v>
      </c>
      <c r="C53" s="11" t="s">
        <v>217</v>
      </c>
      <c r="D53" s="29">
        <f>INDEX(Table2[Credits],MATCH(Table14[[#This Row],[Module Code]],Table2[Module Code],0))</f>
        <v>10</v>
      </c>
      <c r="E53" s="29" t="str">
        <f>INDEX(Table2[Semester],MATCH(Table14[[#This Row],[Module Code]],Table2[Module Code],0))</f>
        <v>SEM2</v>
      </c>
      <c r="F53" s="11">
        <f>INDEX(Table2[Contact Time],MATCH(Table14[[#This Row],[Module Code]],Table2[Module Code],0))</f>
        <v>2</v>
      </c>
      <c r="G53" s="31" t="s">
        <v>214</v>
      </c>
      <c r="H53" s="31" t="s">
        <v>214</v>
      </c>
      <c r="I53" s="31" t="s">
        <v>214</v>
      </c>
      <c r="J53" s="31" t="s">
        <v>214</v>
      </c>
      <c r="K53" s="31" t="s">
        <v>214</v>
      </c>
      <c r="L53" s="31" t="s">
        <v>214</v>
      </c>
      <c r="M53" s="31" t="s">
        <v>214</v>
      </c>
      <c r="N53" s="31" t="s">
        <v>214</v>
      </c>
      <c r="O53" s="31" t="s">
        <v>214</v>
      </c>
      <c r="P53" s="31" t="s">
        <v>214</v>
      </c>
      <c r="Q53" s="31" t="s">
        <v>214</v>
      </c>
      <c r="R53" s="32"/>
      <c r="S53" s="33">
        <v>2</v>
      </c>
      <c r="T53" s="33">
        <v>2</v>
      </c>
      <c r="U53" s="33">
        <v>2</v>
      </c>
      <c r="V53" s="33">
        <v>2</v>
      </c>
      <c r="W53" s="33">
        <v>2</v>
      </c>
      <c r="X53" s="33">
        <v>2</v>
      </c>
      <c r="Y53" s="33">
        <v>2</v>
      </c>
      <c r="Z53" s="33">
        <v>2</v>
      </c>
      <c r="AA53" s="33">
        <v>2</v>
      </c>
      <c r="AB53" s="33">
        <v>2</v>
      </c>
      <c r="AC53" s="33">
        <v>2</v>
      </c>
      <c r="AD53" s="33"/>
      <c r="AE53" s="37">
        <f>SUM(Table14[[#This Row],[Autumn Week 1]:[Spring Week 12]])</f>
        <v>22</v>
      </c>
    </row>
    <row r="54" spans="1:31">
      <c r="A54" s="3" t="s">
        <v>193</v>
      </c>
      <c r="B54" s="3" t="s">
        <v>113</v>
      </c>
      <c r="C54" s="11" t="s">
        <v>218</v>
      </c>
      <c r="D54" s="29">
        <f>INDEX(Table2[Credits],MATCH(Table14[[#This Row],[Module Code]],Table2[Module Code],0))</f>
        <v>10</v>
      </c>
      <c r="E54" s="29" t="str">
        <f>INDEX(Table2[Semester],MATCH(Table14[[#This Row],[Module Code]],Table2[Module Code],0))</f>
        <v>SEM2</v>
      </c>
      <c r="F54" s="11">
        <f>INDEX(Table2[Contact Time],MATCH(Table14[[#This Row],[Module Code]],Table2[Module Code],0))</f>
        <v>2</v>
      </c>
      <c r="G54" s="31" t="s">
        <v>214</v>
      </c>
      <c r="H54" s="31" t="s">
        <v>214</v>
      </c>
      <c r="I54" s="31" t="s">
        <v>214</v>
      </c>
      <c r="J54" s="31" t="s">
        <v>214</v>
      </c>
      <c r="K54" s="31" t="s">
        <v>214</v>
      </c>
      <c r="L54" s="31" t="s">
        <v>214</v>
      </c>
      <c r="M54" s="31" t="s">
        <v>214</v>
      </c>
      <c r="N54" s="31" t="s">
        <v>214</v>
      </c>
      <c r="O54" s="31" t="s">
        <v>214</v>
      </c>
      <c r="P54" s="31" t="s">
        <v>214</v>
      </c>
      <c r="Q54" s="31" t="s">
        <v>214</v>
      </c>
      <c r="R54" s="32"/>
      <c r="S54" s="33">
        <v>2</v>
      </c>
      <c r="T54" s="33">
        <v>2</v>
      </c>
      <c r="U54" s="33">
        <v>2</v>
      </c>
      <c r="V54" s="33">
        <v>2</v>
      </c>
      <c r="W54" s="33">
        <v>2</v>
      </c>
      <c r="X54" s="33">
        <v>2</v>
      </c>
      <c r="Y54" s="33">
        <v>2</v>
      </c>
      <c r="Z54" s="33">
        <v>2</v>
      </c>
      <c r="AA54" s="33">
        <v>2</v>
      </c>
      <c r="AB54" s="33">
        <v>2</v>
      </c>
      <c r="AC54" s="33">
        <v>2</v>
      </c>
      <c r="AD54" s="33"/>
      <c r="AE54" s="37">
        <f>SUM(Table14[[#This Row],[Autumn Week 1]:[Spring Week 12]])</f>
        <v>22</v>
      </c>
    </row>
    <row r="55" spans="1:31">
      <c r="A55" s="3" t="s">
        <v>114</v>
      </c>
      <c r="B55" s="3" t="s">
        <v>115</v>
      </c>
      <c r="C55" s="12" t="s">
        <v>217</v>
      </c>
      <c r="D55" s="29">
        <f>INDEX(Table2[Credits],MATCH(Table14[[#This Row],[Module Code]],Table2[Module Code],0))</f>
        <v>10</v>
      </c>
      <c r="E55" s="29" t="str">
        <f>INDEX(Table2[Semester],MATCH(Table14[[#This Row],[Module Code]],Table2[Module Code],0))</f>
        <v>SEM2</v>
      </c>
      <c r="F55" s="11">
        <f>INDEX(Table2[Contact Time],MATCH(Table14[[#This Row],[Module Code]],Table2[Module Code],0))</f>
        <v>3</v>
      </c>
      <c r="G55" s="31" t="s">
        <v>214</v>
      </c>
      <c r="H55" s="31" t="s">
        <v>214</v>
      </c>
      <c r="I55" s="31" t="s">
        <v>214</v>
      </c>
      <c r="J55" s="31" t="s">
        <v>214</v>
      </c>
      <c r="K55" s="31" t="s">
        <v>214</v>
      </c>
      <c r="L55" s="31" t="s">
        <v>214</v>
      </c>
      <c r="M55" s="31" t="s">
        <v>214</v>
      </c>
      <c r="N55" s="31" t="s">
        <v>214</v>
      </c>
      <c r="O55" s="31" t="s">
        <v>214</v>
      </c>
      <c r="P55" s="31" t="s">
        <v>214</v>
      </c>
      <c r="Q55" s="31" t="s">
        <v>214</v>
      </c>
      <c r="R55" s="32"/>
      <c r="S55" s="33">
        <v>3</v>
      </c>
      <c r="T55" s="33">
        <v>3</v>
      </c>
      <c r="U55" s="33">
        <v>3</v>
      </c>
      <c r="V55" s="33">
        <v>3</v>
      </c>
      <c r="W55" s="33">
        <v>3</v>
      </c>
      <c r="X55" s="33">
        <v>3</v>
      </c>
      <c r="Y55" s="33">
        <v>3</v>
      </c>
      <c r="Z55" s="33">
        <v>3</v>
      </c>
      <c r="AA55" s="33">
        <v>3</v>
      </c>
      <c r="AB55" s="33">
        <v>3</v>
      </c>
      <c r="AC55" s="33">
        <v>3</v>
      </c>
      <c r="AD55" s="33"/>
      <c r="AE55" s="37">
        <f>SUM(Table14[[#This Row],[Autumn Week 1]:[Spring Week 12]])</f>
        <v>33</v>
      </c>
    </row>
    <row r="56" spans="1:31">
      <c r="A56" s="3" t="s">
        <v>239</v>
      </c>
      <c r="B56" s="3" t="s">
        <v>240</v>
      </c>
      <c r="C56" s="11" t="s">
        <v>218</v>
      </c>
      <c r="D56" s="29">
        <f>INDEX(Table2[Credits],MATCH(Table14[[#This Row],[Module Code]],Table2[Module Code],0))</f>
        <v>10</v>
      </c>
      <c r="E56" s="29" t="str">
        <f>INDEX(Table2[Semester],MATCH(Table14[[#This Row],[Module Code]],Table2[Module Code],0))</f>
        <v>SEM2</v>
      </c>
      <c r="F56" s="11">
        <f>INDEX(Table2[Contact Time],MATCH(Table14[[#This Row],[Module Code]],Table2[Module Code],0))</f>
        <v>2</v>
      </c>
      <c r="G56" s="31" t="s">
        <v>214</v>
      </c>
      <c r="H56" s="31" t="s">
        <v>214</v>
      </c>
      <c r="I56" s="31" t="s">
        <v>214</v>
      </c>
      <c r="J56" s="31" t="s">
        <v>214</v>
      </c>
      <c r="K56" s="31" t="s">
        <v>214</v>
      </c>
      <c r="L56" s="31" t="s">
        <v>214</v>
      </c>
      <c r="M56" s="31" t="s">
        <v>214</v>
      </c>
      <c r="N56" s="31" t="s">
        <v>214</v>
      </c>
      <c r="O56" s="31" t="s">
        <v>214</v>
      </c>
      <c r="P56" s="31" t="s">
        <v>214</v>
      </c>
      <c r="Q56" s="31" t="s">
        <v>214</v>
      </c>
      <c r="R56" s="32"/>
      <c r="S56" s="33">
        <v>2</v>
      </c>
      <c r="T56" s="33">
        <v>2</v>
      </c>
      <c r="U56" s="33">
        <v>2</v>
      </c>
      <c r="V56" s="33">
        <v>2</v>
      </c>
      <c r="W56" s="33">
        <v>2</v>
      </c>
      <c r="X56" s="33">
        <v>2</v>
      </c>
      <c r="Y56" s="33">
        <v>2</v>
      </c>
      <c r="Z56" s="33">
        <v>2</v>
      </c>
      <c r="AA56" s="33">
        <v>2</v>
      </c>
      <c r="AB56" s="33">
        <v>2</v>
      </c>
      <c r="AC56" s="33">
        <v>2</v>
      </c>
      <c r="AD56" s="33"/>
      <c r="AE56" s="37">
        <f>SUM(Table14[[#This Row],[Autumn Week 1]:[Spring Week 12]])</f>
        <v>22</v>
      </c>
    </row>
    <row r="57" spans="1:31">
      <c r="A57" s="3" t="s">
        <v>116</v>
      </c>
      <c r="B57" s="3" t="s">
        <v>117</v>
      </c>
      <c r="C57" s="11" t="s">
        <v>218</v>
      </c>
      <c r="D57" s="29">
        <f>INDEX(Table2[Credits],MATCH(Table14[[#This Row],[Module Code]],Table2[Module Code],0))</f>
        <v>10</v>
      </c>
      <c r="E57" s="29" t="str">
        <f>INDEX(Table2[Semester],MATCH(Table14[[#This Row],[Module Code]],Table2[Module Code],0))</f>
        <v>SEM2</v>
      </c>
      <c r="F57" s="11">
        <f>INDEX(Table2[Contact Time],MATCH(Table14[[#This Row],[Module Code]],Table2[Module Code],0))</f>
        <v>2</v>
      </c>
      <c r="G57" s="31" t="s">
        <v>214</v>
      </c>
      <c r="H57" s="31" t="s">
        <v>214</v>
      </c>
      <c r="I57" s="31" t="s">
        <v>214</v>
      </c>
      <c r="J57" s="31" t="s">
        <v>214</v>
      </c>
      <c r="K57" s="31" t="s">
        <v>214</v>
      </c>
      <c r="L57" s="31" t="s">
        <v>214</v>
      </c>
      <c r="M57" s="31" t="s">
        <v>214</v>
      </c>
      <c r="N57" s="31" t="s">
        <v>214</v>
      </c>
      <c r="O57" s="31" t="s">
        <v>214</v>
      </c>
      <c r="P57" s="31" t="s">
        <v>214</v>
      </c>
      <c r="Q57" s="31" t="s">
        <v>214</v>
      </c>
      <c r="R57" s="32"/>
      <c r="S57" s="33">
        <v>2</v>
      </c>
      <c r="T57" s="33">
        <v>2</v>
      </c>
      <c r="U57" s="33">
        <v>2</v>
      </c>
      <c r="V57" s="33">
        <v>2</v>
      </c>
      <c r="W57" s="33">
        <v>2</v>
      </c>
      <c r="X57" s="33">
        <v>2</v>
      </c>
      <c r="Y57" s="33">
        <v>2</v>
      </c>
      <c r="Z57" s="33">
        <v>2</v>
      </c>
      <c r="AA57" s="33">
        <v>2</v>
      </c>
      <c r="AB57" s="33">
        <v>2</v>
      </c>
      <c r="AC57" s="33">
        <v>2</v>
      </c>
      <c r="AD57" s="33"/>
      <c r="AE57" s="37">
        <f>SUM(Table14[[#This Row],[Autumn Week 1]:[Spring Week 12]])</f>
        <v>22</v>
      </c>
    </row>
    <row r="58" spans="1:31">
      <c r="A58" s="3" t="s">
        <v>68</v>
      </c>
      <c r="B58" s="3" t="s">
        <v>159</v>
      </c>
      <c r="C58" s="12" t="s">
        <v>218</v>
      </c>
      <c r="D58" s="29">
        <f>INDEX(Table2[Credits],MATCH(Table14[[#This Row],[Module Code]],Table2[Module Code],0))</f>
        <v>10</v>
      </c>
      <c r="E58" s="29" t="str">
        <f>INDEX(Table2[Semester],MATCH(Table14[[#This Row],[Module Code]],Table2[Module Code],0))</f>
        <v>SEM2</v>
      </c>
      <c r="F58" s="11">
        <f>INDEX(Table2[Contact Time],MATCH(Table14[[#This Row],[Module Code]],Table2[Module Code],0))</f>
        <v>2</v>
      </c>
      <c r="G58" s="31" t="s">
        <v>214</v>
      </c>
      <c r="H58" s="31" t="s">
        <v>214</v>
      </c>
      <c r="I58" s="31" t="s">
        <v>214</v>
      </c>
      <c r="J58" s="31" t="s">
        <v>214</v>
      </c>
      <c r="K58" s="31" t="s">
        <v>214</v>
      </c>
      <c r="L58" s="31" t="s">
        <v>214</v>
      </c>
      <c r="M58" s="31" t="s">
        <v>214</v>
      </c>
      <c r="N58" s="31" t="s">
        <v>214</v>
      </c>
      <c r="O58" s="31" t="s">
        <v>214</v>
      </c>
      <c r="P58" s="31" t="s">
        <v>214</v>
      </c>
      <c r="Q58" s="31" t="s">
        <v>214</v>
      </c>
      <c r="R58" s="32"/>
      <c r="S58" s="33">
        <v>2</v>
      </c>
      <c r="T58" s="33">
        <v>2</v>
      </c>
      <c r="U58" s="33">
        <v>2</v>
      </c>
      <c r="V58" s="33">
        <v>2</v>
      </c>
      <c r="W58" s="33">
        <v>2</v>
      </c>
      <c r="X58" s="33">
        <v>2</v>
      </c>
      <c r="Y58" s="33">
        <v>2</v>
      </c>
      <c r="Z58" s="33">
        <v>2</v>
      </c>
      <c r="AA58" s="33">
        <v>2</v>
      </c>
      <c r="AB58" s="33">
        <v>2</v>
      </c>
      <c r="AC58" s="33">
        <v>2</v>
      </c>
      <c r="AD58" s="33"/>
      <c r="AE58" s="37">
        <f>SUM(Table14[[#This Row],[Autumn Week 1]:[Spring Week 12]])</f>
        <v>22</v>
      </c>
    </row>
    <row r="59" spans="1:31">
      <c r="A59" s="3" t="s">
        <v>194</v>
      </c>
      <c r="B59" s="3" t="s">
        <v>118</v>
      </c>
      <c r="C59" s="12" t="s">
        <v>218</v>
      </c>
      <c r="D59" s="29">
        <f>INDEX(Table2[Credits],MATCH(Table14[[#This Row],[Module Code]],Table2[Module Code],0))</f>
        <v>10</v>
      </c>
      <c r="E59" s="29" t="str">
        <f>INDEX(Table2[Semester],MATCH(Table14[[#This Row],[Module Code]],Table2[Module Code],0))</f>
        <v>SEM2</v>
      </c>
      <c r="F59" s="11">
        <f>INDEX(Table2[Contact Time],MATCH(Table14[[#This Row],[Module Code]],Table2[Module Code],0))</f>
        <v>3</v>
      </c>
      <c r="G59" s="31" t="s">
        <v>214</v>
      </c>
      <c r="H59" s="31" t="s">
        <v>214</v>
      </c>
      <c r="I59" s="31" t="s">
        <v>214</v>
      </c>
      <c r="J59" s="31" t="s">
        <v>214</v>
      </c>
      <c r="K59" s="31" t="s">
        <v>214</v>
      </c>
      <c r="L59" s="31" t="s">
        <v>214</v>
      </c>
      <c r="M59" s="31" t="s">
        <v>214</v>
      </c>
      <c r="N59" s="31" t="s">
        <v>214</v>
      </c>
      <c r="O59" s="31" t="s">
        <v>214</v>
      </c>
      <c r="P59" s="31" t="s">
        <v>214</v>
      </c>
      <c r="Q59" s="31" t="s">
        <v>214</v>
      </c>
      <c r="R59" s="32"/>
      <c r="S59" s="33">
        <v>2</v>
      </c>
      <c r="T59" s="33">
        <v>2</v>
      </c>
      <c r="U59" s="33">
        <v>2</v>
      </c>
      <c r="V59" s="33">
        <v>2</v>
      </c>
      <c r="W59" s="33">
        <v>2</v>
      </c>
      <c r="X59" s="33">
        <v>4</v>
      </c>
      <c r="Y59" s="33">
        <v>4</v>
      </c>
      <c r="Z59" s="33">
        <v>4</v>
      </c>
      <c r="AA59" s="33">
        <v>2</v>
      </c>
      <c r="AB59" s="33">
        <v>2</v>
      </c>
      <c r="AC59" s="33">
        <v>2</v>
      </c>
      <c r="AD59" s="33"/>
      <c r="AE59" s="37">
        <f>SUM(Table14[[#This Row],[Autumn Week 1]:[Spring Week 12]])</f>
        <v>28</v>
      </c>
    </row>
    <row r="60" spans="1:31">
      <c r="A60" s="3" t="s">
        <v>195</v>
      </c>
      <c r="B60" s="3" t="s">
        <v>119</v>
      </c>
      <c r="C60" s="12" t="s">
        <v>218</v>
      </c>
      <c r="D60" s="29">
        <f>INDEX(Table2[Credits],MATCH(Table14[[#This Row],[Module Code]],Table2[Module Code],0))</f>
        <v>10</v>
      </c>
      <c r="E60" s="29" t="str">
        <f>INDEX(Table2[Semester],MATCH(Table14[[#This Row],[Module Code]],Table2[Module Code],0))</f>
        <v>SEM2</v>
      </c>
      <c r="F60" s="11">
        <f>INDEX(Table2[Contact Time],MATCH(Table14[[#This Row],[Module Code]],Table2[Module Code],0))</f>
        <v>2</v>
      </c>
      <c r="G60" s="31" t="s">
        <v>214</v>
      </c>
      <c r="H60" s="31" t="s">
        <v>214</v>
      </c>
      <c r="I60" s="31" t="s">
        <v>214</v>
      </c>
      <c r="J60" s="31" t="s">
        <v>214</v>
      </c>
      <c r="K60" s="31" t="s">
        <v>214</v>
      </c>
      <c r="L60" s="31" t="s">
        <v>214</v>
      </c>
      <c r="M60" s="31" t="s">
        <v>214</v>
      </c>
      <c r="N60" s="31" t="s">
        <v>214</v>
      </c>
      <c r="O60" s="31" t="s">
        <v>214</v>
      </c>
      <c r="P60" s="31" t="s">
        <v>214</v>
      </c>
      <c r="Q60" s="31" t="s">
        <v>214</v>
      </c>
      <c r="R60" s="32"/>
      <c r="S60" s="33">
        <v>2</v>
      </c>
      <c r="T60" s="33">
        <v>2</v>
      </c>
      <c r="U60" s="33">
        <v>2</v>
      </c>
      <c r="V60" s="33">
        <v>2</v>
      </c>
      <c r="W60" s="33">
        <v>2</v>
      </c>
      <c r="X60" s="33">
        <v>2</v>
      </c>
      <c r="Y60" s="33">
        <v>2</v>
      </c>
      <c r="Z60" s="33">
        <v>2</v>
      </c>
      <c r="AA60" s="33">
        <v>2</v>
      </c>
      <c r="AB60" s="33">
        <v>2</v>
      </c>
      <c r="AC60" s="33">
        <v>2</v>
      </c>
      <c r="AD60" s="33"/>
      <c r="AE60" s="37">
        <f>SUM(Table14[[#This Row],[Autumn Week 1]:[Spring Week 12]])</f>
        <v>22</v>
      </c>
    </row>
    <row r="61" spans="1:31">
      <c r="A61" s="4" t="s">
        <v>74</v>
      </c>
      <c r="B61" s="2" t="s">
        <v>23</v>
      </c>
      <c r="C61" s="11" t="s">
        <v>217</v>
      </c>
      <c r="D61" s="29">
        <f>INDEX(Table2[Credits],MATCH(Table14[[#This Row],[Module Code]],Table2[Module Code],0))</f>
        <v>60</v>
      </c>
      <c r="E61" s="29" t="str">
        <f>INDEX(Table2[Semester],MATCH(Table14[[#This Row],[Module Code]],Table2[Module Code],0))</f>
        <v>SEMD</v>
      </c>
      <c r="F61" s="11">
        <f>INDEX(Table2[Contact Time],MATCH(Table14[[#This Row],[Module Code]],Table2[Module Code],0))</f>
        <v>0.5</v>
      </c>
      <c r="G61" s="31">
        <v>18</v>
      </c>
      <c r="H61" s="31">
        <v>1</v>
      </c>
      <c r="I61" s="31">
        <v>0.5</v>
      </c>
      <c r="J61" s="31">
        <v>0.5</v>
      </c>
      <c r="K61" s="31">
        <v>0.5</v>
      </c>
      <c r="L61" s="31">
        <v>0.5</v>
      </c>
      <c r="M61" s="31">
        <v>0.5</v>
      </c>
      <c r="N61" s="31">
        <v>0.5</v>
      </c>
      <c r="O61" s="31">
        <v>0.5</v>
      </c>
      <c r="P61" s="31">
        <v>0.5</v>
      </c>
      <c r="Q61" s="31">
        <v>0.5</v>
      </c>
      <c r="R61" s="31"/>
      <c r="S61" s="33">
        <v>0.5</v>
      </c>
      <c r="T61" s="33">
        <v>0.5</v>
      </c>
      <c r="U61" s="33">
        <v>0.5</v>
      </c>
      <c r="V61" s="33">
        <v>0.5</v>
      </c>
      <c r="W61" s="33">
        <v>0.5</v>
      </c>
      <c r="X61" s="33">
        <v>0.5</v>
      </c>
      <c r="Y61" s="33">
        <v>0.5</v>
      </c>
      <c r="Z61" s="33">
        <v>0.5</v>
      </c>
      <c r="AA61" s="33">
        <v>0.5</v>
      </c>
      <c r="AB61" s="33">
        <v>0.5</v>
      </c>
      <c r="AC61" s="33">
        <v>0.5</v>
      </c>
      <c r="AD61" s="33">
        <v>0.5</v>
      </c>
      <c r="AE61" s="37">
        <f>SUM(Table14[[#This Row],[Autumn Week 1]:[Spring Week 12]])</f>
        <v>29.5</v>
      </c>
    </row>
    <row r="62" spans="1:31">
      <c r="A62" s="4" t="s">
        <v>244</v>
      </c>
      <c r="B62" s="2" t="s">
        <v>245</v>
      </c>
      <c r="C62" s="11" t="s">
        <v>218</v>
      </c>
      <c r="D62" s="29">
        <f>INDEX(Table2[Credits],MATCH(Table14[[#This Row],[Module Code]],Table2[Module Code],0))</f>
        <v>10</v>
      </c>
      <c r="E62" s="29" t="str">
        <f>INDEX(Table2[Semester],MATCH(Table14[[#This Row],[Module Code]],Table2[Module Code],0))</f>
        <v>SEM1</v>
      </c>
      <c r="F62" s="11">
        <f>INDEX(Table2[Contact Time],MATCH(Table14[[#This Row],[Module Code]],Table2[Module Code],0))</f>
        <v>2</v>
      </c>
      <c r="G62" s="31">
        <v>2</v>
      </c>
      <c r="H62" s="31">
        <v>2</v>
      </c>
      <c r="I62" s="31">
        <v>2</v>
      </c>
      <c r="J62" s="31">
        <v>2</v>
      </c>
      <c r="K62" s="31"/>
      <c r="L62" s="31">
        <v>2</v>
      </c>
      <c r="M62" s="31">
        <v>2</v>
      </c>
      <c r="N62" s="31">
        <v>2</v>
      </c>
      <c r="O62" s="31">
        <v>2</v>
      </c>
      <c r="P62" s="31">
        <v>2</v>
      </c>
      <c r="Q62" s="31"/>
      <c r="R62" s="32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7">
        <f>SUM(Table14[[#This Row],[Autumn Week 1]:[Spring Week 12]])</f>
        <v>18</v>
      </c>
    </row>
    <row r="63" spans="1:31">
      <c r="A63" s="4" t="s">
        <v>181</v>
      </c>
      <c r="B63" s="2" t="s">
        <v>184</v>
      </c>
      <c r="C63" s="11" t="s">
        <v>5</v>
      </c>
      <c r="D63" s="29">
        <f>INDEX(Table2[Credits],MATCH(Table14[[#This Row],[Module Code]],Table2[Module Code],0))</f>
        <v>20</v>
      </c>
      <c r="E63" s="29" t="str">
        <f>INDEX(Table2[Semester],MATCH(Table14[[#This Row],[Module Code]],Table2[Module Code],0))</f>
        <v>SEM1</v>
      </c>
      <c r="F63" s="11">
        <f>INDEX(Table2[Contact Time],MATCH(Table14[[#This Row],[Module Code]],Table2[Module Code],0))</f>
        <v>3</v>
      </c>
      <c r="G63" s="31">
        <v>3</v>
      </c>
      <c r="H63" s="31">
        <v>3</v>
      </c>
      <c r="I63" s="31">
        <v>3</v>
      </c>
      <c r="J63" s="31">
        <v>3</v>
      </c>
      <c r="K63" s="31">
        <v>3</v>
      </c>
      <c r="L63" s="31">
        <v>3</v>
      </c>
      <c r="M63" s="31">
        <v>3</v>
      </c>
      <c r="N63" s="31">
        <v>3</v>
      </c>
      <c r="O63" s="31">
        <v>3</v>
      </c>
      <c r="P63" s="31">
        <v>3</v>
      </c>
      <c r="Q63" s="31">
        <v>3</v>
      </c>
      <c r="R63" s="32"/>
      <c r="S63" s="33" t="s">
        <v>214</v>
      </c>
      <c r="T63" s="33" t="s">
        <v>214</v>
      </c>
      <c r="U63" s="33" t="s">
        <v>214</v>
      </c>
      <c r="V63" s="33" t="s">
        <v>214</v>
      </c>
      <c r="W63" s="33" t="s">
        <v>214</v>
      </c>
      <c r="X63" s="33" t="s">
        <v>214</v>
      </c>
      <c r="Y63" s="33" t="s">
        <v>214</v>
      </c>
      <c r="Z63" s="33" t="s">
        <v>214</v>
      </c>
      <c r="AA63" s="33" t="s">
        <v>214</v>
      </c>
      <c r="AB63" s="33" t="s">
        <v>214</v>
      </c>
      <c r="AC63" s="33" t="s">
        <v>214</v>
      </c>
      <c r="AD63" s="33"/>
      <c r="AE63" s="37">
        <f>SUM(Table14[[#This Row],[Autumn Week 1]:[Spring Week 12]])</f>
        <v>33</v>
      </c>
    </row>
    <row r="64" spans="1:31">
      <c r="A64" s="4" t="s">
        <v>182</v>
      </c>
      <c r="B64" s="2" t="s">
        <v>185</v>
      </c>
      <c r="C64" s="11" t="s">
        <v>5</v>
      </c>
      <c r="D64" s="29">
        <f>INDEX(Table2[Credits],MATCH(Table14[[#This Row],[Module Code]],Table2[Module Code],0))</f>
        <v>20</v>
      </c>
      <c r="E64" s="29" t="str">
        <f>INDEX(Table2[Semester],MATCH(Table14[[#This Row],[Module Code]],Table2[Module Code],0))</f>
        <v>SEM2</v>
      </c>
      <c r="F64" s="11">
        <f>INDEX(Table2[Contact Time],MATCH(Table14[[#This Row],[Module Code]],Table2[Module Code],0))</f>
        <v>4</v>
      </c>
      <c r="G64" s="31" t="s">
        <v>214</v>
      </c>
      <c r="H64" s="31" t="s">
        <v>214</v>
      </c>
      <c r="I64" s="31" t="s">
        <v>214</v>
      </c>
      <c r="J64" s="31" t="s">
        <v>214</v>
      </c>
      <c r="K64" s="31" t="s">
        <v>214</v>
      </c>
      <c r="L64" s="31" t="s">
        <v>214</v>
      </c>
      <c r="M64" s="31" t="s">
        <v>214</v>
      </c>
      <c r="N64" s="31" t="s">
        <v>214</v>
      </c>
      <c r="O64" s="31" t="s">
        <v>214</v>
      </c>
      <c r="P64" s="31" t="s">
        <v>214</v>
      </c>
      <c r="Q64" s="31" t="s">
        <v>214</v>
      </c>
      <c r="R64" s="32"/>
      <c r="S64" s="33">
        <v>4</v>
      </c>
      <c r="T64" s="33">
        <v>4</v>
      </c>
      <c r="U64" s="33">
        <v>4</v>
      </c>
      <c r="V64" s="33">
        <v>4</v>
      </c>
      <c r="W64" s="33">
        <v>4</v>
      </c>
      <c r="X64" s="33">
        <v>4</v>
      </c>
      <c r="Y64" s="33">
        <v>4</v>
      </c>
      <c r="Z64" s="33">
        <v>4</v>
      </c>
      <c r="AA64" s="33">
        <v>4</v>
      </c>
      <c r="AB64" s="33">
        <v>4</v>
      </c>
      <c r="AC64" s="33">
        <v>4</v>
      </c>
      <c r="AD64" s="33"/>
      <c r="AE64" s="37">
        <f>SUM(Table14[[#This Row],[Autumn Week 1]:[Spring Week 12]])</f>
        <v>44</v>
      </c>
    </row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48CE7-BEAC-43FA-847F-FDE82E3A5926}">
  <dimension ref="A1:W129"/>
  <sheetViews>
    <sheetView topLeftCell="A55" workbookViewId="0">
      <pane xSplit="2" topLeftCell="O1" activePane="topRight" state="frozen"/>
      <selection pane="topRight" activeCell="B83" sqref="B83"/>
    </sheetView>
  </sheetViews>
  <sheetFormatPr defaultRowHeight="14.5"/>
  <cols>
    <col min="1" max="1" width="14.81640625" style="5" bestFit="1" customWidth="1"/>
    <col min="2" max="2" width="66.81640625" style="5" customWidth="1"/>
    <col min="3" max="3" width="16.26953125" style="5" customWidth="1"/>
    <col min="4" max="4" width="7.81640625" style="5" customWidth="1"/>
    <col min="5" max="5" width="10.7265625" style="5" bestFit="1" customWidth="1"/>
    <col min="6" max="6" width="7.26953125" style="5" bestFit="1" customWidth="1"/>
    <col min="7" max="7" width="9" style="5" bestFit="1" customWidth="1"/>
    <col min="8" max="8" width="9" style="5" customWidth="1"/>
  </cols>
  <sheetData>
    <row r="1" spans="1:23">
      <c r="A1" s="5" t="s">
        <v>0</v>
      </c>
      <c r="B1" s="5" t="s">
        <v>6</v>
      </c>
      <c r="C1" s="5" t="s">
        <v>183</v>
      </c>
      <c r="D1" s="5" t="s">
        <v>179</v>
      </c>
      <c r="E1" s="5" t="s">
        <v>146</v>
      </c>
      <c r="F1" s="5" t="s">
        <v>141</v>
      </c>
      <c r="G1" s="5" t="s">
        <v>140</v>
      </c>
      <c r="H1" s="5" t="s">
        <v>271</v>
      </c>
      <c r="I1" s="5" t="s">
        <v>138</v>
      </c>
      <c r="J1" s="5" t="s">
        <v>221</v>
      </c>
      <c r="K1" s="5" t="s">
        <v>139</v>
      </c>
      <c r="L1" s="5" t="s">
        <v>142</v>
      </c>
      <c r="M1" s="5" t="s">
        <v>272</v>
      </c>
      <c r="N1" s="5" t="s">
        <v>196</v>
      </c>
      <c r="O1" s="5" t="s">
        <v>197</v>
      </c>
      <c r="P1" s="5" t="s">
        <v>386</v>
      </c>
      <c r="Q1" s="5" t="s">
        <v>387</v>
      </c>
      <c r="R1" s="5" t="s">
        <v>241</v>
      </c>
      <c r="S1" s="5" t="s">
        <v>385</v>
      </c>
      <c r="T1" s="5" t="s">
        <v>212</v>
      </c>
      <c r="U1" s="1" t="s">
        <v>233</v>
      </c>
      <c r="V1" s="1" t="s">
        <v>176</v>
      </c>
      <c r="W1" s="1" t="s">
        <v>177</v>
      </c>
    </row>
    <row r="2" spans="1:23">
      <c r="A2" s="4" t="s">
        <v>55</v>
      </c>
      <c r="B2" s="2" t="s">
        <v>54</v>
      </c>
      <c r="C2" s="2"/>
      <c r="D2" s="2" t="s">
        <v>180</v>
      </c>
      <c r="E2" s="2" t="s">
        <v>147</v>
      </c>
      <c r="F2" s="2">
        <v>4</v>
      </c>
      <c r="G2" s="2">
        <v>20</v>
      </c>
      <c r="H2" s="2" t="s">
        <v>143</v>
      </c>
      <c r="I2" t="s">
        <v>143</v>
      </c>
      <c r="J2" t="s">
        <v>143</v>
      </c>
      <c r="K2" t="s">
        <v>143</v>
      </c>
      <c r="L2" t="s">
        <v>143</v>
      </c>
      <c r="T2">
        <v>4</v>
      </c>
      <c r="U2">
        <v>60</v>
      </c>
      <c r="V2">
        <f>100-Table2[[#This Row],[Exam Weight (%)]]</f>
        <v>40</v>
      </c>
      <c r="W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3" spans="1:23">
      <c r="A3" s="4" t="s">
        <v>252</v>
      </c>
      <c r="B3" s="2" t="s">
        <v>253</v>
      </c>
      <c r="C3" s="2"/>
      <c r="D3" s="2" t="s">
        <v>180</v>
      </c>
      <c r="E3" s="2" t="s">
        <v>147</v>
      </c>
      <c r="F3" s="2">
        <v>4</v>
      </c>
      <c r="G3" s="2">
        <v>20</v>
      </c>
      <c r="H3" s="2" t="s">
        <v>143</v>
      </c>
      <c r="I3" t="s">
        <v>143</v>
      </c>
      <c r="J3" t="s">
        <v>143</v>
      </c>
      <c r="K3" t="s">
        <v>143</v>
      </c>
      <c r="L3" t="s">
        <v>143</v>
      </c>
      <c r="T3">
        <v>4</v>
      </c>
      <c r="U3">
        <v>60</v>
      </c>
      <c r="V3">
        <f>100-Table2[[#This Row],[Exam Weight (%)]]</f>
        <v>40</v>
      </c>
      <c r="W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" spans="1:23">
      <c r="A4" s="4" t="s">
        <v>255</v>
      </c>
      <c r="B4" s="2" t="s">
        <v>256</v>
      </c>
      <c r="C4" s="2"/>
      <c r="D4" s="2" t="s">
        <v>180</v>
      </c>
      <c r="E4" s="2" t="s">
        <v>147</v>
      </c>
      <c r="F4" s="2">
        <v>4</v>
      </c>
      <c r="G4" s="2">
        <v>10</v>
      </c>
      <c r="H4" s="2" t="s">
        <v>143</v>
      </c>
      <c r="I4" t="s">
        <v>143</v>
      </c>
      <c r="J4" t="s">
        <v>143</v>
      </c>
      <c r="K4" t="s">
        <v>143</v>
      </c>
      <c r="L4" t="s">
        <v>143</v>
      </c>
      <c r="T4">
        <v>2</v>
      </c>
      <c r="U4">
        <v>50</v>
      </c>
      <c r="V4">
        <f>100-Table2[[#This Row],[Exam Weight (%)]]</f>
        <v>50</v>
      </c>
      <c r="W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" spans="1:23">
      <c r="A5" s="4" t="s">
        <v>59</v>
      </c>
      <c r="B5" s="2" t="s">
        <v>58</v>
      </c>
      <c r="C5" s="2"/>
      <c r="D5" s="2" t="s">
        <v>180</v>
      </c>
      <c r="E5" s="2" t="s">
        <v>149</v>
      </c>
      <c r="F5" s="2">
        <v>4</v>
      </c>
      <c r="G5" s="2">
        <v>20</v>
      </c>
      <c r="H5" s="2" t="s">
        <v>143</v>
      </c>
      <c r="I5" t="s">
        <v>143</v>
      </c>
      <c r="J5" t="s">
        <v>143</v>
      </c>
      <c r="K5" t="s">
        <v>143</v>
      </c>
      <c r="L5" t="s">
        <v>143</v>
      </c>
      <c r="T5">
        <v>4</v>
      </c>
      <c r="U5">
        <v>0</v>
      </c>
      <c r="V5">
        <f>100-Table2[[#This Row],[Exam Weight (%)]]</f>
        <v>100</v>
      </c>
      <c r="W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6" spans="1:23">
      <c r="A6" s="3" t="s">
        <v>81</v>
      </c>
      <c r="B6" s="3" t="s">
        <v>76</v>
      </c>
      <c r="C6" s="3"/>
      <c r="D6" s="2" t="s">
        <v>180</v>
      </c>
      <c r="E6" s="3" t="s">
        <v>148</v>
      </c>
      <c r="F6" s="4">
        <v>4</v>
      </c>
      <c r="G6" s="2">
        <v>20</v>
      </c>
      <c r="H6" s="2" t="s">
        <v>143</v>
      </c>
      <c r="I6" t="s">
        <v>143</v>
      </c>
      <c r="J6" t="s">
        <v>143</v>
      </c>
      <c r="K6" t="s">
        <v>143</v>
      </c>
      <c r="L6" t="s">
        <v>143</v>
      </c>
      <c r="T6">
        <v>4</v>
      </c>
      <c r="U6">
        <v>70</v>
      </c>
      <c r="V6">
        <f>100-Table2[[#This Row],[Exam Weight (%)]]</f>
        <v>30</v>
      </c>
      <c r="W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7" spans="1:23">
      <c r="A7" s="3" t="s">
        <v>187</v>
      </c>
      <c r="B7" s="3" t="s">
        <v>77</v>
      </c>
      <c r="C7" s="3"/>
      <c r="D7" s="2" t="s">
        <v>180</v>
      </c>
      <c r="E7" s="3" t="s">
        <v>148</v>
      </c>
      <c r="F7" s="4">
        <v>4</v>
      </c>
      <c r="G7" s="2">
        <v>10</v>
      </c>
      <c r="H7" s="2" t="s">
        <v>143</v>
      </c>
      <c r="I7" t="s">
        <v>143</v>
      </c>
      <c r="J7" t="s">
        <v>143</v>
      </c>
      <c r="K7" t="s">
        <v>143</v>
      </c>
      <c r="L7" t="s">
        <v>143</v>
      </c>
      <c r="T7">
        <v>3</v>
      </c>
      <c r="U7">
        <v>0</v>
      </c>
      <c r="V7">
        <f>100-Table2[[#This Row],[Exam Weight (%)]]</f>
        <v>100</v>
      </c>
      <c r="W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" spans="1:23">
      <c r="A8" s="3" t="s">
        <v>83</v>
      </c>
      <c r="B8" s="3" t="s">
        <v>79</v>
      </c>
      <c r="C8" s="3"/>
      <c r="D8" s="2" t="s">
        <v>180</v>
      </c>
      <c r="E8" s="3" t="s">
        <v>148</v>
      </c>
      <c r="F8" s="4">
        <v>4</v>
      </c>
      <c r="G8" s="2">
        <v>10</v>
      </c>
      <c r="H8" s="2" t="s">
        <v>144</v>
      </c>
      <c r="I8" t="s">
        <v>144</v>
      </c>
      <c r="J8" t="s">
        <v>143</v>
      </c>
      <c r="K8" t="s">
        <v>143</v>
      </c>
      <c r="L8" s="6"/>
      <c r="M8" s="6"/>
      <c r="N8" s="6"/>
      <c r="O8" s="6"/>
      <c r="P8" s="6"/>
      <c r="Q8" s="6"/>
      <c r="R8" s="6"/>
      <c r="S8" s="6"/>
      <c r="T8" s="6">
        <v>2</v>
      </c>
      <c r="U8">
        <v>70</v>
      </c>
      <c r="V8">
        <f>100-Table2[[#This Row],[Exam Weight (%)]]</f>
        <v>30</v>
      </c>
      <c r="W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" spans="1:23">
      <c r="A9" s="3" t="s">
        <v>84</v>
      </c>
      <c r="B9" s="3" t="s">
        <v>80</v>
      </c>
      <c r="C9" s="3"/>
      <c r="D9" s="2" t="s">
        <v>180</v>
      </c>
      <c r="E9" s="3" t="s">
        <v>148</v>
      </c>
      <c r="F9" s="4">
        <v>4</v>
      </c>
      <c r="G9" s="2">
        <v>10</v>
      </c>
      <c r="H9" s="2" t="s">
        <v>143</v>
      </c>
      <c r="I9" t="s">
        <v>143</v>
      </c>
      <c r="J9" t="s">
        <v>143</v>
      </c>
      <c r="K9" t="s">
        <v>143</v>
      </c>
      <c r="L9" t="s">
        <v>143</v>
      </c>
      <c r="T9">
        <v>2</v>
      </c>
      <c r="U9">
        <v>60</v>
      </c>
      <c r="V9">
        <f>100-Table2[[#This Row],[Exam Weight (%)]]</f>
        <v>40</v>
      </c>
      <c r="W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0" spans="1:23">
      <c r="A10" s="7" t="s">
        <v>82</v>
      </c>
      <c r="B10" s="3" t="s">
        <v>78</v>
      </c>
      <c r="C10" s="3"/>
      <c r="D10" s="2" t="s">
        <v>180</v>
      </c>
      <c r="E10" s="3" t="s">
        <v>148</v>
      </c>
      <c r="F10" s="4">
        <v>4</v>
      </c>
      <c r="G10" s="2">
        <v>10</v>
      </c>
      <c r="H10" s="2" t="s">
        <v>144</v>
      </c>
      <c r="I10" t="s">
        <v>144</v>
      </c>
      <c r="J10" s="6"/>
      <c r="K10" s="6"/>
      <c r="L10" t="s">
        <v>143</v>
      </c>
      <c r="T10">
        <v>2</v>
      </c>
      <c r="U10">
        <v>80</v>
      </c>
      <c r="V10">
        <f>100-Table2[[#This Row],[Exam Weight (%)]]</f>
        <v>20</v>
      </c>
      <c r="W1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11" spans="1:23">
      <c r="A11" s="3" t="s">
        <v>215</v>
      </c>
      <c r="B11" s="3" t="s">
        <v>216</v>
      </c>
      <c r="C11" s="3"/>
      <c r="D11" s="28" t="s">
        <v>180</v>
      </c>
      <c r="E11" s="3" t="s">
        <v>149</v>
      </c>
      <c r="F11" s="4">
        <v>4</v>
      </c>
      <c r="G11" s="2">
        <v>0</v>
      </c>
      <c r="H11" s="2" t="s">
        <v>143</v>
      </c>
      <c r="I11" t="s">
        <v>143</v>
      </c>
      <c r="J11" s="6" t="s">
        <v>143</v>
      </c>
      <c r="K11" s="6" t="s">
        <v>143</v>
      </c>
      <c r="L11" t="s">
        <v>143</v>
      </c>
      <c r="T11">
        <v>1</v>
      </c>
      <c r="U11">
        <v>0</v>
      </c>
      <c r="V11">
        <f>100-Table2[[#This Row],[Exam Weight (%)]]</f>
        <v>100</v>
      </c>
      <c r="W1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2" spans="1:23">
      <c r="A12" s="4" t="s">
        <v>37</v>
      </c>
      <c r="B12" s="2" t="s">
        <v>38</v>
      </c>
      <c r="C12" s="2"/>
      <c r="D12" s="2" t="s">
        <v>180</v>
      </c>
      <c r="E12" s="2" t="s">
        <v>147</v>
      </c>
      <c r="F12" s="2">
        <v>5</v>
      </c>
      <c r="G12" s="2">
        <v>20</v>
      </c>
      <c r="H12" s="2" t="s">
        <v>143</v>
      </c>
      <c r="I12" t="s">
        <v>143</v>
      </c>
      <c r="J12" t="s">
        <v>143</v>
      </c>
      <c r="K12" t="s">
        <v>143</v>
      </c>
      <c r="L12" t="s">
        <v>143</v>
      </c>
      <c r="T12">
        <v>4</v>
      </c>
      <c r="U12">
        <v>60</v>
      </c>
      <c r="V12">
        <f>100-Table2[[#This Row],[Exam Weight (%)]]</f>
        <v>40</v>
      </c>
      <c r="W1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3" spans="1:23">
      <c r="A13" s="4" t="s">
        <v>258</v>
      </c>
      <c r="B13" s="2" t="s">
        <v>257</v>
      </c>
      <c r="C13" s="2"/>
      <c r="D13" s="2" t="s">
        <v>180</v>
      </c>
      <c r="E13" s="2" t="s">
        <v>147</v>
      </c>
      <c r="F13" s="2">
        <v>5</v>
      </c>
      <c r="G13" s="2">
        <v>10</v>
      </c>
      <c r="H13" s="2" t="s">
        <v>143</v>
      </c>
      <c r="I13" t="s">
        <v>143</v>
      </c>
      <c r="J13" t="s">
        <v>143</v>
      </c>
      <c r="K13" t="s">
        <v>143</v>
      </c>
      <c r="L13" t="s">
        <v>143</v>
      </c>
      <c r="T13">
        <v>3</v>
      </c>
      <c r="U13">
        <v>60</v>
      </c>
      <c r="V13">
        <f>100-Table2[[#This Row],[Exam Weight (%)]]</f>
        <v>40</v>
      </c>
      <c r="W1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4" spans="1:23">
      <c r="A14" s="4" t="s">
        <v>49</v>
      </c>
      <c r="B14" s="2" t="s">
        <v>48</v>
      </c>
      <c r="C14" s="2"/>
      <c r="D14" s="2" t="s">
        <v>180</v>
      </c>
      <c r="E14" s="2" t="s">
        <v>147</v>
      </c>
      <c r="F14" s="2">
        <v>5</v>
      </c>
      <c r="G14" s="2">
        <v>10</v>
      </c>
      <c r="H14" s="2"/>
      <c r="I14" s="6"/>
      <c r="J14" s="6"/>
      <c r="K14" s="6"/>
      <c r="L14" t="s">
        <v>143</v>
      </c>
      <c r="T14">
        <v>4</v>
      </c>
      <c r="U14">
        <v>0</v>
      </c>
      <c r="V14">
        <f>100-Table2[[#This Row],[Exam Weight (%)]]</f>
        <v>100</v>
      </c>
      <c r="W1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5" spans="1:23">
      <c r="A15" s="4" t="s">
        <v>234</v>
      </c>
      <c r="B15" s="2" t="s">
        <v>235</v>
      </c>
      <c r="C15" s="2"/>
      <c r="D15" s="2" t="s">
        <v>180</v>
      </c>
      <c r="E15" s="2" t="s">
        <v>147</v>
      </c>
      <c r="F15" s="2">
        <v>5</v>
      </c>
      <c r="G15" s="2">
        <v>10</v>
      </c>
      <c r="H15" s="2" t="s">
        <v>143</v>
      </c>
      <c r="I15" t="s">
        <v>143</v>
      </c>
      <c r="J15" t="s">
        <v>143</v>
      </c>
      <c r="K15" t="s">
        <v>143</v>
      </c>
      <c r="L15" t="s">
        <v>143</v>
      </c>
      <c r="T15">
        <v>3</v>
      </c>
      <c r="U15">
        <v>0</v>
      </c>
      <c r="V15">
        <f>100-Table2[[#This Row],[Exam Weight (%)]]</f>
        <v>100</v>
      </c>
      <c r="W1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6" spans="1:23">
      <c r="A16" s="4" t="s">
        <v>40</v>
      </c>
      <c r="B16" s="2" t="s">
        <v>41</v>
      </c>
      <c r="C16" s="2"/>
      <c r="D16" s="2" t="s">
        <v>180</v>
      </c>
      <c r="E16" s="2" t="s">
        <v>147</v>
      </c>
      <c r="F16" s="2">
        <v>5</v>
      </c>
      <c r="G16" s="2">
        <v>10</v>
      </c>
      <c r="H16" s="2" t="s">
        <v>144</v>
      </c>
      <c r="I16" t="s">
        <v>144</v>
      </c>
      <c r="J16" t="s">
        <v>144</v>
      </c>
      <c r="K16" t="s">
        <v>143</v>
      </c>
      <c r="L16" s="6"/>
      <c r="M16" s="6"/>
      <c r="N16" s="6"/>
      <c r="O16" s="6"/>
      <c r="P16" s="6"/>
      <c r="Q16" s="6"/>
      <c r="R16" s="6"/>
      <c r="S16" s="6"/>
      <c r="T16" s="6">
        <v>2</v>
      </c>
      <c r="U16">
        <v>60</v>
      </c>
      <c r="V16">
        <f>100-Table2[[#This Row],[Exam Weight (%)]]</f>
        <v>40</v>
      </c>
      <c r="W1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7" spans="1:23">
      <c r="A17" s="4" t="s">
        <v>44</v>
      </c>
      <c r="B17" s="2" t="s">
        <v>42</v>
      </c>
      <c r="C17" s="2"/>
      <c r="D17" s="2" t="s">
        <v>180</v>
      </c>
      <c r="E17" s="2" t="s">
        <v>147</v>
      </c>
      <c r="F17" s="2">
        <v>5</v>
      </c>
      <c r="G17" s="2">
        <v>10</v>
      </c>
      <c r="H17" s="2" t="s">
        <v>144</v>
      </c>
      <c r="I17" t="s">
        <v>144</v>
      </c>
      <c r="J17" s="6" t="s">
        <v>144</v>
      </c>
      <c r="K17" s="6"/>
      <c r="L17" s="6"/>
      <c r="M17" s="6"/>
      <c r="N17" s="6"/>
      <c r="O17" s="6"/>
      <c r="P17" s="6"/>
      <c r="Q17" s="6"/>
      <c r="R17" s="6"/>
      <c r="S17" s="6"/>
      <c r="T17" s="6">
        <v>2</v>
      </c>
      <c r="U17">
        <v>0</v>
      </c>
      <c r="V17">
        <f>100-Table2[[#This Row],[Exam Weight (%)]]</f>
        <v>100</v>
      </c>
      <c r="W1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8" spans="1:23">
      <c r="A18" s="4" t="s">
        <v>45</v>
      </c>
      <c r="B18" s="2" t="s">
        <v>43</v>
      </c>
      <c r="C18" s="2"/>
      <c r="D18" s="2" t="s">
        <v>180</v>
      </c>
      <c r="E18" s="2" t="s">
        <v>147</v>
      </c>
      <c r="F18" s="2">
        <v>5</v>
      </c>
      <c r="G18" s="2">
        <v>10</v>
      </c>
      <c r="H18" s="2" t="s">
        <v>144</v>
      </c>
      <c r="I18" t="s">
        <v>144</v>
      </c>
      <c r="J18" s="6" t="s">
        <v>144</v>
      </c>
      <c r="K18" s="6"/>
      <c r="L18" t="s">
        <v>143</v>
      </c>
      <c r="T18">
        <v>2</v>
      </c>
      <c r="U18">
        <v>65</v>
      </c>
      <c r="V18">
        <f>100-Table2[[#This Row],[Exam Weight (%)]]</f>
        <v>35</v>
      </c>
      <c r="W1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35</v>
      </c>
    </row>
    <row r="19" spans="1:23">
      <c r="A19" s="4" t="s">
        <v>51</v>
      </c>
      <c r="B19" s="2" t="s">
        <v>50</v>
      </c>
      <c r="C19" s="2"/>
      <c r="D19" s="2" t="s">
        <v>180</v>
      </c>
      <c r="E19" s="2" t="s">
        <v>149</v>
      </c>
      <c r="F19" s="2">
        <v>5</v>
      </c>
      <c r="G19" s="2">
        <v>20</v>
      </c>
      <c r="H19" s="2" t="s">
        <v>144</v>
      </c>
      <c r="I19" t="s">
        <v>143</v>
      </c>
      <c r="J19" s="6"/>
      <c r="K19" s="6"/>
      <c r="L19" s="6"/>
      <c r="M19" s="6"/>
      <c r="N19" s="6"/>
      <c r="O19" s="6"/>
      <c r="P19" s="6"/>
      <c r="Q19" s="6"/>
      <c r="R19" s="6"/>
      <c r="S19" s="6"/>
      <c r="T19" s="6">
        <v>4</v>
      </c>
      <c r="U19">
        <v>0</v>
      </c>
      <c r="V19">
        <f>100-Table2[[#This Row],[Exam Weight (%)]]</f>
        <v>100</v>
      </c>
      <c r="W1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100.00000000000003</v>
      </c>
    </row>
    <row r="20" spans="1:23">
      <c r="A20" s="4" t="s">
        <v>53</v>
      </c>
      <c r="B20" s="2" t="s">
        <v>52</v>
      </c>
      <c r="C20" s="2"/>
      <c r="D20" s="2" t="s">
        <v>180</v>
      </c>
      <c r="E20" s="2" t="s">
        <v>149</v>
      </c>
      <c r="F20" s="2">
        <v>5</v>
      </c>
      <c r="G20" s="2">
        <v>20</v>
      </c>
      <c r="H20" s="2" t="s">
        <v>144</v>
      </c>
      <c r="I20" s="6"/>
      <c r="J20" t="s">
        <v>143</v>
      </c>
      <c r="K20" t="s">
        <v>143</v>
      </c>
      <c r="L20" s="6"/>
      <c r="M20" s="6"/>
      <c r="N20" s="6"/>
      <c r="O20" s="6"/>
      <c r="P20" s="6"/>
      <c r="Q20" s="6"/>
      <c r="R20" s="6"/>
      <c r="S20" s="6"/>
      <c r="T20" s="6">
        <v>3</v>
      </c>
      <c r="U20">
        <v>0</v>
      </c>
      <c r="V20">
        <f>100-Table2[[#This Row],[Exam Weight (%)]]</f>
        <v>100</v>
      </c>
      <c r="W2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21" spans="1:23">
      <c r="A21" s="3" t="s">
        <v>93</v>
      </c>
      <c r="B21" s="3" t="s">
        <v>85</v>
      </c>
      <c r="C21" s="3"/>
      <c r="D21" s="2" t="s">
        <v>180</v>
      </c>
      <c r="E21" s="3" t="s">
        <v>148</v>
      </c>
      <c r="F21" s="4">
        <v>5</v>
      </c>
      <c r="G21" s="2">
        <v>20</v>
      </c>
      <c r="H21" s="2" t="s">
        <v>143</v>
      </c>
      <c r="I21" t="s">
        <v>143</v>
      </c>
      <c r="J21" t="s">
        <v>143</v>
      </c>
      <c r="K21" t="s">
        <v>143</v>
      </c>
      <c r="L21" t="s">
        <v>143</v>
      </c>
      <c r="T21">
        <v>4</v>
      </c>
      <c r="U21">
        <v>70</v>
      </c>
      <c r="V21">
        <f>100-Table2[[#This Row],[Exam Weight (%)]]</f>
        <v>30</v>
      </c>
      <c r="W2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2" spans="1:23">
      <c r="A22" s="3" t="s">
        <v>94</v>
      </c>
      <c r="B22" s="3" t="s">
        <v>86</v>
      </c>
      <c r="C22" s="3"/>
      <c r="D22" s="2" t="s">
        <v>180</v>
      </c>
      <c r="E22" s="3" t="s">
        <v>148</v>
      </c>
      <c r="F22" s="4">
        <v>5</v>
      </c>
      <c r="G22" s="2">
        <v>10</v>
      </c>
      <c r="H22" s="2" t="s">
        <v>143</v>
      </c>
      <c r="I22" t="s">
        <v>143</v>
      </c>
      <c r="J22" t="s">
        <v>143</v>
      </c>
      <c r="K22" t="s">
        <v>143</v>
      </c>
      <c r="L22" t="s">
        <v>143</v>
      </c>
      <c r="T22">
        <v>2</v>
      </c>
      <c r="U22">
        <v>70</v>
      </c>
      <c r="V22">
        <f>100-Table2[[#This Row],[Exam Weight (%)]]</f>
        <v>30</v>
      </c>
      <c r="W2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3" spans="1:23">
      <c r="A23" s="3" t="s">
        <v>186</v>
      </c>
      <c r="B23" s="3" t="s">
        <v>88</v>
      </c>
      <c r="C23" s="3"/>
      <c r="D23" s="2" t="s">
        <v>180</v>
      </c>
      <c r="E23" s="3" t="s">
        <v>148</v>
      </c>
      <c r="F23" s="4">
        <v>5</v>
      </c>
      <c r="G23" s="2">
        <v>10</v>
      </c>
      <c r="H23" s="2" t="s">
        <v>143</v>
      </c>
      <c r="I23" t="s">
        <v>143</v>
      </c>
      <c r="J23" t="s">
        <v>143</v>
      </c>
      <c r="K23" t="s">
        <v>143</v>
      </c>
      <c r="L23" t="s">
        <v>143</v>
      </c>
      <c r="T23">
        <v>3</v>
      </c>
      <c r="U23">
        <v>70</v>
      </c>
      <c r="V23">
        <f>100-Table2[[#This Row],[Exam Weight (%)]]</f>
        <v>30</v>
      </c>
      <c r="W2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4" spans="1:23">
      <c r="A24" s="3" t="s">
        <v>89</v>
      </c>
      <c r="B24" s="3" t="s">
        <v>90</v>
      </c>
      <c r="C24" s="3"/>
      <c r="D24" s="2" t="s">
        <v>180</v>
      </c>
      <c r="E24" s="3" t="s">
        <v>148</v>
      </c>
      <c r="F24" s="4">
        <v>5</v>
      </c>
      <c r="G24" s="2">
        <v>10</v>
      </c>
      <c r="H24" s="2" t="s">
        <v>144</v>
      </c>
      <c r="I24" s="6"/>
      <c r="J24" s="6"/>
      <c r="K24" s="6"/>
      <c r="L24" t="s">
        <v>143</v>
      </c>
      <c r="T24">
        <v>2</v>
      </c>
      <c r="U24">
        <v>80</v>
      </c>
      <c r="V24">
        <f>100-Table2[[#This Row],[Exam Weight (%)]]</f>
        <v>20</v>
      </c>
      <c r="W2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5" spans="1:23">
      <c r="A25" s="3" t="s">
        <v>91</v>
      </c>
      <c r="B25" s="3" t="s">
        <v>92</v>
      </c>
      <c r="C25" s="3"/>
      <c r="D25" s="2" t="s">
        <v>180</v>
      </c>
      <c r="E25" s="3" t="s">
        <v>148</v>
      </c>
      <c r="F25" s="4">
        <v>5</v>
      </c>
      <c r="G25" s="2">
        <v>10</v>
      </c>
      <c r="H25" s="2" t="s">
        <v>144</v>
      </c>
      <c r="I25" t="s">
        <v>143</v>
      </c>
      <c r="J25" s="6" t="s">
        <v>144</v>
      </c>
      <c r="K25" s="6"/>
      <c r="L25" t="s">
        <v>143</v>
      </c>
      <c r="T25">
        <v>3</v>
      </c>
      <c r="U25">
        <v>0</v>
      </c>
      <c r="V25">
        <f>100-Table2[[#This Row],[Exam Weight (%)]]</f>
        <v>100</v>
      </c>
      <c r="W2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6" spans="1:23">
      <c r="A26" s="3" t="s">
        <v>95</v>
      </c>
      <c r="B26" s="3" t="s">
        <v>87</v>
      </c>
      <c r="C26" s="3"/>
      <c r="D26" s="2" t="s">
        <v>180</v>
      </c>
      <c r="E26" s="3" t="s">
        <v>148</v>
      </c>
      <c r="F26" s="4">
        <v>5</v>
      </c>
      <c r="G26" s="2">
        <v>10</v>
      </c>
      <c r="H26" s="2" t="s">
        <v>144</v>
      </c>
      <c r="I26" s="6"/>
      <c r="J26" t="s">
        <v>144</v>
      </c>
      <c r="K26" t="s">
        <v>143</v>
      </c>
      <c r="L26" s="6"/>
      <c r="M26" s="6"/>
      <c r="N26" s="6"/>
      <c r="O26" s="6"/>
      <c r="P26" s="6"/>
      <c r="Q26" s="6"/>
      <c r="R26" s="6"/>
      <c r="S26" s="6"/>
      <c r="T26" s="6">
        <v>3</v>
      </c>
      <c r="U26">
        <v>0</v>
      </c>
      <c r="V26">
        <f>100-Table2[[#This Row],[Exam Weight (%)]]</f>
        <v>100</v>
      </c>
      <c r="W2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7" spans="1:23">
      <c r="A27" s="4" t="s">
        <v>1</v>
      </c>
      <c r="B27" s="2" t="s">
        <v>2</v>
      </c>
      <c r="C27" s="2"/>
      <c r="D27" s="2" t="s">
        <v>180</v>
      </c>
      <c r="E27" s="2" t="s">
        <v>147</v>
      </c>
      <c r="F27" s="2">
        <v>6</v>
      </c>
      <c r="G27" s="2">
        <v>20</v>
      </c>
      <c r="H27" s="2" t="s">
        <v>143</v>
      </c>
      <c r="I27" t="s">
        <v>143</v>
      </c>
      <c r="J27" t="s">
        <v>143</v>
      </c>
      <c r="K27" t="s">
        <v>143</v>
      </c>
      <c r="L27" t="s">
        <v>143</v>
      </c>
      <c r="T27">
        <v>4</v>
      </c>
      <c r="U27">
        <v>80</v>
      </c>
      <c r="V27">
        <f>100-Table2[[#This Row],[Exam Weight (%)]]</f>
        <v>20</v>
      </c>
      <c r="W2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8" spans="1:23">
      <c r="A28" s="4" t="s">
        <v>248</v>
      </c>
      <c r="B28" s="2" t="s">
        <v>236</v>
      </c>
      <c r="C28" s="2" t="s">
        <v>249</v>
      </c>
      <c r="D28" s="2" t="s">
        <v>180</v>
      </c>
      <c r="E28" s="2" t="s">
        <v>147</v>
      </c>
      <c r="F28" s="2">
        <v>6</v>
      </c>
      <c r="G28" s="2">
        <v>10</v>
      </c>
      <c r="H28" s="2" t="s">
        <v>144</v>
      </c>
      <c r="I28" t="s">
        <v>143</v>
      </c>
      <c r="J28" t="s">
        <v>144</v>
      </c>
      <c r="K28" t="s">
        <v>144</v>
      </c>
      <c r="L28" t="s">
        <v>144</v>
      </c>
      <c r="T28">
        <v>3</v>
      </c>
      <c r="U28">
        <v>70</v>
      </c>
      <c r="V28">
        <f>100-Table2[[#This Row],[Exam Weight (%)]]</f>
        <v>30</v>
      </c>
      <c r="W2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9" spans="1:23">
      <c r="A29" s="4" t="s">
        <v>8</v>
      </c>
      <c r="B29" s="2" t="s">
        <v>9</v>
      </c>
      <c r="C29" s="2" t="s">
        <v>126</v>
      </c>
      <c r="D29" s="2" t="s">
        <v>180</v>
      </c>
      <c r="E29" s="2" t="s">
        <v>147</v>
      </c>
      <c r="F29" s="2">
        <v>6</v>
      </c>
      <c r="G29" s="2">
        <v>10</v>
      </c>
      <c r="H29" s="2" t="s">
        <v>144</v>
      </c>
      <c r="I29" t="s">
        <v>144</v>
      </c>
      <c r="J29" t="s">
        <v>144</v>
      </c>
      <c r="K29" t="s">
        <v>144</v>
      </c>
      <c r="L29" t="s">
        <v>144</v>
      </c>
      <c r="T29">
        <v>2</v>
      </c>
      <c r="U29">
        <v>0</v>
      </c>
      <c r="V29">
        <f>100-Table2[[#This Row],[Exam Weight (%)]]</f>
        <v>100</v>
      </c>
      <c r="W2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0" spans="1:23">
      <c r="A30" s="4" t="s">
        <v>10</v>
      </c>
      <c r="B30" s="2" t="s">
        <v>11</v>
      </c>
      <c r="C30" s="2" t="s">
        <v>127</v>
      </c>
      <c r="D30" s="2" t="s">
        <v>180</v>
      </c>
      <c r="E30" s="2" t="s">
        <v>147</v>
      </c>
      <c r="F30" s="2">
        <v>6</v>
      </c>
      <c r="G30" s="2">
        <v>10</v>
      </c>
      <c r="H30" s="2" t="s">
        <v>144</v>
      </c>
      <c r="I30" t="s">
        <v>144</v>
      </c>
      <c r="J30" t="s">
        <v>144</v>
      </c>
      <c r="K30" t="s">
        <v>143</v>
      </c>
      <c r="L30" t="s">
        <v>144</v>
      </c>
      <c r="T30">
        <v>2</v>
      </c>
      <c r="U30">
        <v>80</v>
      </c>
      <c r="V30">
        <f>100-Table2[[#This Row],[Exam Weight (%)]]</f>
        <v>20</v>
      </c>
      <c r="W3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1" spans="1:23">
      <c r="A31" s="4" t="s">
        <v>14</v>
      </c>
      <c r="B31" s="2" t="s">
        <v>13</v>
      </c>
      <c r="C31" s="2" t="s">
        <v>128</v>
      </c>
      <c r="D31" s="2" t="s">
        <v>180</v>
      </c>
      <c r="E31" s="2" t="s">
        <v>147</v>
      </c>
      <c r="F31" s="2">
        <v>6</v>
      </c>
      <c r="G31" s="2">
        <v>10</v>
      </c>
      <c r="H31" s="2" t="s">
        <v>144</v>
      </c>
      <c r="I31" t="s">
        <v>144</v>
      </c>
      <c r="J31" t="s">
        <v>144</v>
      </c>
      <c r="K31" t="s">
        <v>144</v>
      </c>
      <c r="L31" t="s">
        <v>144</v>
      </c>
      <c r="T31">
        <v>2</v>
      </c>
      <c r="U31">
        <v>0</v>
      </c>
      <c r="V31">
        <f>100-Table2[[#This Row],[Exam Weight (%)]]</f>
        <v>100</v>
      </c>
      <c r="W3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2" spans="1:23">
      <c r="A32" s="4" t="s">
        <v>15</v>
      </c>
      <c r="B32" s="2" t="s">
        <v>145</v>
      </c>
      <c r="C32" s="2" t="s">
        <v>129</v>
      </c>
      <c r="D32" s="2" t="s">
        <v>180</v>
      </c>
      <c r="E32" s="2" t="s">
        <v>147</v>
      </c>
      <c r="F32" s="2">
        <v>6</v>
      </c>
      <c r="G32" s="2">
        <v>10</v>
      </c>
      <c r="H32" s="2" t="s">
        <v>144</v>
      </c>
      <c r="I32" t="s">
        <v>144</v>
      </c>
      <c r="J32" s="6" t="s">
        <v>144</v>
      </c>
      <c r="K32" s="6"/>
      <c r="L32" s="6" t="s">
        <v>144</v>
      </c>
      <c r="M32" s="6"/>
      <c r="N32" s="6"/>
      <c r="O32" s="6"/>
      <c r="P32" s="6"/>
      <c r="Q32" s="6"/>
      <c r="R32" s="6"/>
      <c r="S32" s="6"/>
      <c r="T32" s="6">
        <v>2</v>
      </c>
      <c r="U32">
        <v>0</v>
      </c>
      <c r="V32">
        <f>100-Table2[[#This Row],[Exam Weight (%)]]</f>
        <v>100</v>
      </c>
      <c r="W3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3" spans="1:23">
      <c r="A33" s="4" t="s">
        <v>16</v>
      </c>
      <c r="B33" s="2" t="s">
        <v>17</v>
      </c>
      <c r="C33" s="2" t="s">
        <v>130</v>
      </c>
      <c r="D33" s="2" t="s">
        <v>180</v>
      </c>
      <c r="E33" s="2" t="s">
        <v>147</v>
      </c>
      <c r="F33" s="2">
        <v>6</v>
      </c>
      <c r="G33" s="2">
        <v>10</v>
      </c>
      <c r="H33" s="2" t="s">
        <v>144</v>
      </c>
      <c r="I33" s="6"/>
      <c r="J33" t="s">
        <v>144</v>
      </c>
      <c r="K33" t="s">
        <v>143</v>
      </c>
      <c r="L33" s="6"/>
      <c r="M33" s="6"/>
      <c r="N33" s="6"/>
      <c r="O33" s="6"/>
      <c r="P33" s="6"/>
      <c r="Q33" s="6"/>
      <c r="R33" s="6"/>
      <c r="S33" s="6"/>
      <c r="T33" s="6">
        <v>2</v>
      </c>
      <c r="U33">
        <v>70</v>
      </c>
      <c r="V33">
        <f>100-Table2[[#This Row],[Exam Weight (%)]]</f>
        <v>30</v>
      </c>
      <c r="W3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34" spans="1:23">
      <c r="A34" s="4" t="s">
        <v>18</v>
      </c>
      <c r="B34" s="2" t="s">
        <v>19</v>
      </c>
      <c r="C34" s="2" t="s">
        <v>131</v>
      </c>
      <c r="D34" s="2" t="s">
        <v>180</v>
      </c>
      <c r="E34" s="2" t="s">
        <v>147</v>
      </c>
      <c r="F34" s="2">
        <v>6</v>
      </c>
      <c r="G34" s="2">
        <v>10</v>
      </c>
      <c r="H34" s="2" t="s">
        <v>144</v>
      </c>
      <c r="I34" t="s">
        <v>144</v>
      </c>
      <c r="J34" s="6" t="s">
        <v>144</v>
      </c>
      <c r="K34" s="6" t="s">
        <v>144</v>
      </c>
      <c r="L34" s="6" t="s">
        <v>144</v>
      </c>
      <c r="M34" s="6"/>
      <c r="N34" s="6"/>
      <c r="O34" s="6"/>
      <c r="P34" s="6"/>
      <c r="Q34" s="6"/>
      <c r="R34" s="6"/>
      <c r="S34" s="6"/>
      <c r="T34" s="6">
        <v>2</v>
      </c>
      <c r="U34">
        <v>70</v>
      </c>
      <c r="V34">
        <f>100-Table2[[#This Row],[Exam Weight (%)]]</f>
        <v>30</v>
      </c>
      <c r="W3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35" spans="1:23">
      <c r="A35" s="4" t="s">
        <v>24</v>
      </c>
      <c r="B35" s="2" t="s">
        <v>20</v>
      </c>
      <c r="C35" s="2" t="s">
        <v>132</v>
      </c>
      <c r="D35" s="2" t="s">
        <v>180</v>
      </c>
      <c r="E35" s="2" t="s">
        <v>147</v>
      </c>
      <c r="F35" s="2">
        <v>6</v>
      </c>
      <c r="G35" s="2">
        <v>10</v>
      </c>
      <c r="H35" s="2" t="s">
        <v>144</v>
      </c>
      <c r="I35" t="s">
        <v>144</v>
      </c>
      <c r="J35" s="6" t="s">
        <v>144</v>
      </c>
      <c r="K35" s="6" t="s">
        <v>144</v>
      </c>
      <c r="L35" s="6" t="s">
        <v>144</v>
      </c>
      <c r="M35" s="6"/>
      <c r="N35" s="6"/>
      <c r="O35" s="6"/>
      <c r="P35" s="6"/>
      <c r="Q35" s="6"/>
      <c r="R35" s="6"/>
      <c r="S35" s="6"/>
      <c r="T35" s="6">
        <v>3</v>
      </c>
      <c r="U35">
        <v>0</v>
      </c>
      <c r="V35">
        <f>100-Table2[[#This Row],[Exam Weight (%)]]</f>
        <v>100</v>
      </c>
      <c r="W3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6" spans="1:23">
      <c r="A36" s="8" t="s">
        <v>21</v>
      </c>
      <c r="B36" s="2" t="s">
        <v>22</v>
      </c>
      <c r="C36" s="2"/>
      <c r="D36" s="2" t="s">
        <v>180</v>
      </c>
      <c r="E36" s="2" t="s">
        <v>147</v>
      </c>
      <c r="F36" s="2">
        <v>6</v>
      </c>
      <c r="G36" s="2">
        <v>10</v>
      </c>
      <c r="H36" s="2" t="s">
        <v>144</v>
      </c>
      <c r="I36" t="s">
        <v>144</v>
      </c>
      <c r="J36" s="6"/>
      <c r="K36" s="6"/>
      <c r="L36" s="6" t="s">
        <v>143</v>
      </c>
      <c r="M36" s="6"/>
      <c r="N36" s="6"/>
      <c r="O36" s="6"/>
      <c r="P36" s="6"/>
      <c r="Q36" s="6"/>
      <c r="R36" s="6"/>
      <c r="S36" s="6"/>
      <c r="T36" s="6">
        <v>2</v>
      </c>
      <c r="U36">
        <v>80</v>
      </c>
      <c r="V36">
        <f>100-Table2[[#This Row],[Exam Weight (%)]]</f>
        <v>20</v>
      </c>
      <c r="W3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7" spans="1:23">
      <c r="A37" s="3" t="s">
        <v>106</v>
      </c>
      <c r="B37" s="3" t="s">
        <v>96</v>
      </c>
      <c r="C37" s="3"/>
      <c r="D37" s="2" t="s">
        <v>180</v>
      </c>
      <c r="E37" s="3" t="s">
        <v>148</v>
      </c>
      <c r="F37" s="2">
        <v>6</v>
      </c>
      <c r="G37" s="2">
        <v>20</v>
      </c>
      <c r="H37" s="2" t="s">
        <v>143</v>
      </c>
      <c r="I37" t="s">
        <v>143</v>
      </c>
      <c r="J37" t="s">
        <v>143</v>
      </c>
      <c r="K37" t="s">
        <v>143</v>
      </c>
      <c r="L37" t="s">
        <v>143</v>
      </c>
      <c r="T37">
        <v>4</v>
      </c>
      <c r="U37">
        <v>70</v>
      </c>
      <c r="V37">
        <f>100-Table2[[#This Row],[Exam Weight (%)]]</f>
        <v>30</v>
      </c>
      <c r="W3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8" spans="1:23">
      <c r="A38" s="3" t="s">
        <v>188</v>
      </c>
      <c r="B38" s="3" t="s">
        <v>97</v>
      </c>
      <c r="C38" s="3"/>
      <c r="D38" s="2" t="s">
        <v>180</v>
      </c>
      <c r="E38" s="3" t="s">
        <v>148</v>
      </c>
      <c r="F38" s="2">
        <v>6</v>
      </c>
      <c r="G38" s="2">
        <v>10</v>
      </c>
      <c r="H38" s="2" t="s">
        <v>144</v>
      </c>
      <c r="I38" t="s">
        <v>144</v>
      </c>
      <c r="J38" t="s">
        <v>144</v>
      </c>
      <c r="K38" t="s">
        <v>144</v>
      </c>
      <c r="L38" t="s">
        <v>144</v>
      </c>
      <c r="T38">
        <v>2</v>
      </c>
      <c r="U38">
        <v>80</v>
      </c>
      <c r="V38">
        <f>100-Table2[[#This Row],[Exam Weight (%)]]</f>
        <v>20</v>
      </c>
      <c r="W3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9" spans="1:23">
      <c r="A39" s="46" t="s">
        <v>108</v>
      </c>
      <c r="B39" s="46" t="s">
        <v>362</v>
      </c>
      <c r="C39" s="46" t="s">
        <v>381</v>
      </c>
      <c r="D39" s="28" t="s">
        <v>180</v>
      </c>
      <c r="E39" s="46" t="s">
        <v>148</v>
      </c>
      <c r="F39" s="47">
        <v>6</v>
      </c>
      <c r="G39" s="51">
        <v>10</v>
      </c>
      <c r="H39" s="28" t="s">
        <v>144</v>
      </c>
      <c r="I39" s="49" t="s">
        <v>144</v>
      </c>
      <c r="J39" t="s">
        <v>144</v>
      </c>
      <c r="K39" s="49" t="s">
        <v>144</v>
      </c>
      <c r="L39" s="49" t="s">
        <v>144</v>
      </c>
      <c r="N39" s="49"/>
      <c r="O39" s="49"/>
      <c r="P39" s="49"/>
      <c r="Q39" s="49"/>
      <c r="T39">
        <v>2</v>
      </c>
      <c r="U39" s="49">
        <v>80</v>
      </c>
      <c r="V39" s="50">
        <f>100-Table2[[#This Row],[Exam Weight (%)]]</f>
        <v>20</v>
      </c>
      <c r="W39" s="5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0" spans="1:23">
      <c r="A40" s="3" t="s">
        <v>189</v>
      </c>
      <c r="B40" s="3" t="s">
        <v>98</v>
      </c>
      <c r="C40" s="3" t="s">
        <v>150</v>
      </c>
      <c r="D40" s="2" t="s">
        <v>180</v>
      </c>
      <c r="E40" s="3" t="s">
        <v>148</v>
      </c>
      <c r="F40" s="2">
        <v>6</v>
      </c>
      <c r="G40" s="2">
        <v>10</v>
      </c>
      <c r="H40" s="2" t="s">
        <v>144</v>
      </c>
      <c r="I40" s="6"/>
      <c r="J40" s="6" t="s">
        <v>144</v>
      </c>
      <c r="K40" s="6" t="s">
        <v>143</v>
      </c>
      <c r="L40" s="6"/>
      <c r="M40" s="6"/>
      <c r="N40" s="6"/>
      <c r="O40" s="6"/>
      <c r="P40" s="6"/>
      <c r="Q40" s="6"/>
      <c r="R40" s="6"/>
      <c r="S40" s="6"/>
      <c r="T40" s="6">
        <v>2</v>
      </c>
      <c r="U40">
        <v>60</v>
      </c>
      <c r="V40">
        <f>100-Table2[[#This Row],[Exam Weight (%)]]</f>
        <v>40</v>
      </c>
      <c r="W4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1" spans="1:23">
      <c r="A41" s="3" t="s">
        <v>109</v>
      </c>
      <c r="B41" s="3" t="s">
        <v>99</v>
      </c>
      <c r="C41" s="3" t="s">
        <v>151</v>
      </c>
      <c r="D41" s="2" t="s">
        <v>180</v>
      </c>
      <c r="E41" s="3" t="s">
        <v>148</v>
      </c>
      <c r="F41" s="2">
        <v>6</v>
      </c>
      <c r="G41" s="2">
        <v>10</v>
      </c>
      <c r="H41" s="2" t="s">
        <v>144</v>
      </c>
      <c r="I41" t="s">
        <v>144</v>
      </c>
      <c r="J41" t="s">
        <v>144</v>
      </c>
      <c r="K41" t="s">
        <v>144</v>
      </c>
      <c r="L41" t="s">
        <v>144</v>
      </c>
      <c r="T41">
        <v>2</v>
      </c>
      <c r="U41">
        <v>0</v>
      </c>
      <c r="V41">
        <f>100-Table2[[#This Row],[Exam Weight (%)]]</f>
        <v>100</v>
      </c>
      <c r="W4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42" spans="1:23">
      <c r="A42" s="3" t="s">
        <v>100</v>
      </c>
      <c r="B42" s="3" t="s">
        <v>101</v>
      </c>
      <c r="C42" s="3" t="s">
        <v>152</v>
      </c>
      <c r="D42" s="2" t="s">
        <v>180</v>
      </c>
      <c r="E42" s="3" t="s">
        <v>148</v>
      </c>
      <c r="F42" s="2">
        <v>6</v>
      </c>
      <c r="G42" s="2">
        <v>10</v>
      </c>
      <c r="H42" s="2" t="s">
        <v>144</v>
      </c>
      <c r="I42" t="s">
        <v>144</v>
      </c>
      <c r="J42" t="s">
        <v>144</v>
      </c>
      <c r="K42" t="s">
        <v>143</v>
      </c>
      <c r="L42" s="6"/>
      <c r="M42" s="6"/>
      <c r="N42" s="6"/>
      <c r="O42" s="6"/>
      <c r="P42" s="6"/>
      <c r="Q42" s="6"/>
      <c r="R42" s="6"/>
      <c r="S42" s="6"/>
      <c r="T42" s="6">
        <v>2</v>
      </c>
      <c r="U42">
        <v>80</v>
      </c>
      <c r="V42">
        <f>100-Table2[[#This Row],[Exam Weight (%)]]</f>
        <v>20</v>
      </c>
      <c r="W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3" spans="1:23">
      <c r="A43" s="3" t="s">
        <v>102</v>
      </c>
      <c r="B43" s="3" t="s">
        <v>103</v>
      </c>
      <c r="C43" s="3"/>
      <c r="D43" s="2" t="s">
        <v>180</v>
      </c>
      <c r="E43" s="3" t="s">
        <v>148</v>
      </c>
      <c r="F43" s="2">
        <v>6</v>
      </c>
      <c r="G43" s="2">
        <v>10</v>
      </c>
      <c r="H43" s="2" t="s">
        <v>144</v>
      </c>
      <c r="I43" t="s">
        <v>144</v>
      </c>
      <c r="J43" s="6" t="s">
        <v>144</v>
      </c>
      <c r="K43" s="6"/>
      <c r="L43" s="6" t="s">
        <v>143</v>
      </c>
      <c r="M43" s="6"/>
      <c r="N43" s="6"/>
      <c r="O43" s="6"/>
      <c r="P43" s="6"/>
      <c r="Q43" s="6"/>
      <c r="R43" s="6"/>
      <c r="S43" s="6"/>
      <c r="T43" s="6">
        <v>2</v>
      </c>
      <c r="U43">
        <v>80</v>
      </c>
      <c r="V43">
        <f>100-Table2[[#This Row],[Exam Weight (%)]]</f>
        <v>20</v>
      </c>
      <c r="W4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4" spans="1:23">
      <c r="A44" s="3" t="s">
        <v>104</v>
      </c>
      <c r="B44" s="3" t="s">
        <v>105</v>
      </c>
      <c r="C44" s="3"/>
      <c r="D44" s="2" t="s">
        <v>180</v>
      </c>
      <c r="E44" s="3" t="s">
        <v>148</v>
      </c>
      <c r="F44" s="2">
        <v>6</v>
      </c>
      <c r="G44" s="2">
        <v>10</v>
      </c>
      <c r="H44" s="2" t="s">
        <v>144</v>
      </c>
      <c r="I44" t="s">
        <v>144</v>
      </c>
      <c r="J44" s="6" t="s">
        <v>144</v>
      </c>
      <c r="K44" s="6"/>
      <c r="L44" s="6" t="s">
        <v>143</v>
      </c>
      <c r="M44" s="6"/>
      <c r="N44" s="6"/>
      <c r="O44" s="6"/>
      <c r="P44" s="6"/>
      <c r="Q44" s="6"/>
      <c r="R44" s="6"/>
      <c r="S44" s="6"/>
      <c r="T44" s="6">
        <v>2</v>
      </c>
      <c r="U44">
        <v>80</v>
      </c>
      <c r="V44">
        <f>100-Table2[[#This Row],[Exam Weight (%)]]</f>
        <v>20</v>
      </c>
      <c r="W4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5" spans="1:23">
      <c r="A45" s="9" t="s">
        <v>47</v>
      </c>
      <c r="B45" s="2" t="s">
        <v>23</v>
      </c>
      <c r="C45" s="2"/>
      <c r="D45" s="2" t="s">
        <v>180</v>
      </c>
      <c r="E45" s="2" t="s">
        <v>149</v>
      </c>
      <c r="F45" s="2">
        <v>6</v>
      </c>
      <c r="G45" s="2">
        <v>30</v>
      </c>
      <c r="H45" s="2" t="s">
        <v>143</v>
      </c>
      <c r="I45" t="s">
        <v>143</v>
      </c>
      <c r="J45" t="s">
        <v>143</v>
      </c>
      <c r="K45" t="s">
        <v>143</v>
      </c>
      <c r="L45" t="s">
        <v>143</v>
      </c>
      <c r="T45">
        <v>0.5</v>
      </c>
      <c r="U45">
        <v>0</v>
      </c>
      <c r="V45">
        <f>100-Table2[[#This Row],[Exam Weight (%)]]</f>
        <v>100</v>
      </c>
      <c r="W4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46" spans="1:23">
      <c r="A46" s="4" t="s">
        <v>61</v>
      </c>
      <c r="B46" s="2" t="s">
        <v>62</v>
      </c>
      <c r="C46" s="2" t="s">
        <v>133</v>
      </c>
      <c r="D46" s="2" t="s">
        <v>180</v>
      </c>
      <c r="E46" s="2" t="s">
        <v>147</v>
      </c>
      <c r="F46" s="2">
        <v>7</v>
      </c>
      <c r="G46" s="2">
        <v>10</v>
      </c>
      <c r="H46" s="2" t="s">
        <v>144</v>
      </c>
      <c r="I46" t="s">
        <v>144</v>
      </c>
      <c r="J46" t="s">
        <v>144</v>
      </c>
      <c r="K46" t="s">
        <v>143</v>
      </c>
      <c r="L46" s="6"/>
      <c r="M46" s="6"/>
      <c r="N46" s="6"/>
      <c r="O46" s="6"/>
      <c r="P46" s="6"/>
      <c r="Q46" s="6"/>
      <c r="R46" s="6"/>
      <c r="S46" s="6"/>
      <c r="T46" s="6">
        <v>2</v>
      </c>
      <c r="U46">
        <v>70</v>
      </c>
      <c r="V46">
        <f>100-Table2[[#This Row],[Exam Weight (%)]]</f>
        <v>30</v>
      </c>
      <c r="W4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7" spans="1:23">
      <c r="A47" s="4" t="s">
        <v>238</v>
      </c>
      <c r="B47" s="2" t="s">
        <v>237</v>
      </c>
      <c r="C47" s="2" t="s">
        <v>251</v>
      </c>
      <c r="D47" s="2" t="s">
        <v>180</v>
      </c>
      <c r="E47" s="2" t="s">
        <v>147</v>
      </c>
      <c r="F47" s="2">
        <v>7</v>
      </c>
      <c r="G47" s="2">
        <v>10</v>
      </c>
      <c r="H47" s="2" t="s">
        <v>144</v>
      </c>
      <c r="I47" t="s">
        <v>144</v>
      </c>
      <c r="J47" t="s">
        <v>144</v>
      </c>
      <c r="K47" t="s">
        <v>144</v>
      </c>
      <c r="L47" s="6"/>
      <c r="M47" s="6"/>
      <c r="N47" s="6"/>
      <c r="O47" s="6"/>
      <c r="P47" s="6"/>
      <c r="Q47" s="6"/>
      <c r="R47" s="6"/>
      <c r="S47" s="6"/>
      <c r="T47" s="6">
        <v>2</v>
      </c>
      <c r="U47">
        <v>70</v>
      </c>
      <c r="V47">
        <f>100-Table2[[#This Row],[Exam Weight (%)]]</f>
        <v>30</v>
      </c>
      <c r="W4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8" spans="1:23">
      <c r="A48" s="4" t="s">
        <v>63</v>
      </c>
      <c r="B48" s="2" t="s">
        <v>296</v>
      </c>
      <c r="C48" s="2" t="s">
        <v>134</v>
      </c>
      <c r="D48" s="2" t="s">
        <v>180</v>
      </c>
      <c r="E48" s="2" t="s">
        <v>147</v>
      </c>
      <c r="F48" s="2">
        <v>7</v>
      </c>
      <c r="G48" s="2">
        <v>10</v>
      </c>
      <c r="H48" s="2" t="s">
        <v>144</v>
      </c>
      <c r="I48" t="s">
        <v>144</v>
      </c>
      <c r="J48" s="6"/>
      <c r="K48" s="6"/>
      <c r="L48" s="6"/>
      <c r="M48" s="6"/>
      <c r="N48" s="6"/>
      <c r="O48" s="6"/>
      <c r="P48" s="6"/>
      <c r="Q48" s="6"/>
      <c r="R48" s="6"/>
      <c r="S48" s="6"/>
      <c r="T48" s="6">
        <v>2</v>
      </c>
      <c r="U48">
        <v>75</v>
      </c>
      <c r="V48">
        <f>100-Table2[[#This Row],[Exam Weight (%)]]</f>
        <v>25</v>
      </c>
      <c r="W4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49" spans="1:23">
      <c r="A49" s="4" t="s">
        <v>66</v>
      </c>
      <c r="B49" s="2" t="s">
        <v>67</v>
      </c>
      <c r="C49" s="2" t="s">
        <v>135</v>
      </c>
      <c r="D49" s="2" t="s">
        <v>180</v>
      </c>
      <c r="E49" s="2" t="s">
        <v>147</v>
      </c>
      <c r="F49" s="2">
        <v>7</v>
      </c>
      <c r="G49" s="2">
        <v>10</v>
      </c>
      <c r="H49" s="2" t="s">
        <v>144</v>
      </c>
      <c r="I49" t="s">
        <v>144</v>
      </c>
      <c r="J49" t="s">
        <v>144</v>
      </c>
      <c r="K49" t="s">
        <v>144</v>
      </c>
      <c r="L49" s="6"/>
      <c r="M49" s="6"/>
      <c r="N49" s="6"/>
      <c r="O49" s="6"/>
      <c r="P49" s="6"/>
      <c r="Q49" s="6"/>
      <c r="R49" s="6"/>
      <c r="S49" s="6"/>
      <c r="T49" s="6">
        <v>3</v>
      </c>
      <c r="U49">
        <v>70</v>
      </c>
      <c r="V49">
        <f>100-Table2[[#This Row],[Exam Weight (%)]]</f>
        <v>30</v>
      </c>
      <c r="W4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0" spans="1:23">
      <c r="A50" s="4" t="s">
        <v>69</v>
      </c>
      <c r="B50" s="2" t="s">
        <v>70</v>
      </c>
      <c r="C50" s="2" t="s">
        <v>136</v>
      </c>
      <c r="D50" s="2" t="s">
        <v>180</v>
      </c>
      <c r="E50" s="2" t="s">
        <v>147</v>
      </c>
      <c r="F50" s="2">
        <v>7</v>
      </c>
      <c r="G50" s="2">
        <v>10</v>
      </c>
      <c r="H50" s="2" t="s">
        <v>144</v>
      </c>
      <c r="I50" t="s">
        <v>144</v>
      </c>
      <c r="J50" t="s">
        <v>144</v>
      </c>
      <c r="K50" t="s">
        <v>144</v>
      </c>
      <c r="L50" s="6"/>
      <c r="M50" s="6"/>
      <c r="N50" s="6"/>
      <c r="O50" s="6"/>
      <c r="P50" s="6"/>
      <c r="Q50" s="6"/>
      <c r="R50" s="6"/>
      <c r="S50" s="6"/>
      <c r="T50" s="6">
        <v>2</v>
      </c>
      <c r="U50">
        <v>0</v>
      </c>
      <c r="V50">
        <f>100-Table2[[#This Row],[Exam Weight (%)]]</f>
        <v>100</v>
      </c>
      <c r="W5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1" spans="1:23">
      <c r="A51" s="4" t="s">
        <v>71</v>
      </c>
      <c r="B51" s="2" t="s">
        <v>72</v>
      </c>
      <c r="C51" s="2" t="s">
        <v>137</v>
      </c>
      <c r="D51" s="2" t="s">
        <v>180</v>
      </c>
      <c r="E51" s="2" t="s">
        <v>147</v>
      </c>
      <c r="F51" s="2">
        <v>7</v>
      </c>
      <c r="G51" s="2">
        <v>10</v>
      </c>
      <c r="H51" s="2" t="s">
        <v>144</v>
      </c>
      <c r="I51" t="s">
        <v>144</v>
      </c>
      <c r="J51" t="s">
        <v>144</v>
      </c>
      <c r="K51" t="s">
        <v>144</v>
      </c>
      <c r="L51" s="6"/>
      <c r="M51" s="6"/>
      <c r="N51" s="6"/>
      <c r="O51" s="6"/>
      <c r="P51" s="6"/>
      <c r="Q51" s="6"/>
      <c r="R51" s="6"/>
      <c r="S51" s="6"/>
      <c r="T51" s="6">
        <v>2</v>
      </c>
      <c r="U51">
        <v>50</v>
      </c>
      <c r="V51">
        <f>100-Table2[[#This Row],[Exam Weight (%)]]</f>
        <v>50</v>
      </c>
      <c r="W5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2" spans="1:23">
      <c r="A52" s="3" t="s">
        <v>190</v>
      </c>
      <c r="B52" s="3" t="s">
        <v>110</v>
      </c>
      <c r="C52" s="3" t="s">
        <v>154</v>
      </c>
      <c r="D52" s="2" t="s">
        <v>180</v>
      </c>
      <c r="E52" s="3" t="s">
        <v>148</v>
      </c>
      <c r="F52" s="2">
        <v>7</v>
      </c>
      <c r="G52" s="2">
        <v>10</v>
      </c>
      <c r="H52" s="2" t="s">
        <v>144</v>
      </c>
      <c r="I52" t="s">
        <v>144</v>
      </c>
      <c r="J52" s="6"/>
      <c r="K52" s="6"/>
      <c r="L52" s="6"/>
      <c r="M52" s="6"/>
      <c r="N52" s="6"/>
      <c r="O52" s="6"/>
      <c r="P52" s="6"/>
      <c r="Q52" s="6"/>
      <c r="R52" s="6"/>
      <c r="S52" s="6"/>
      <c r="T52" s="6">
        <v>2</v>
      </c>
      <c r="U52">
        <v>80</v>
      </c>
      <c r="V52">
        <f>100-Table2[[#This Row],[Exam Weight (%)]]</f>
        <v>20</v>
      </c>
      <c r="W5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3" spans="1:23">
      <c r="A53" s="3" t="s">
        <v>191</v>
      </c>
      <c r="B53" s="3" t="s">
        <v>111</v>
      </c>
      <c r="C53" s="3" t="s">
        <v>153</v>
      </c>
      <c r="D53" s="2" t="s">
        <v>180</v>
      </c>
      <c r="E53" s="3" t="s">
        <v>148</v>
      </c>
      <c r="F53" s="2">
        <v>7</v>
      </c>
      <c r="G53" s="2">
        <v>10</v>
      </c>
      <c r="H53" s="2" t="s">
        <v>144</v>
      </c>
      <c r="I53" t="s">
        <v>144</v>
      </c>
      <c r="J53" t="s">
        <v>144</v>
      </c>
      <c r="K53" t="s">
        <v>144</v>
      </c>
      <c r="L53" s="6"/>
      <c r="M53" s="6"/>
      <c r="N53" s="6"/>
      <c r="O53" s="6"/>
      <c r="P53" s="6"/>
      <c r="Q53" s="6"/>
      <c r="R53" s="6"/>
      <c r="S53" s="6"/>
      <c r="T53" s="6">
        <v>2</v>
      </c>
      <c r="U53">
        <v>70</v>
      </c>
      <c r="V53">
        <f>100-Table2[[#This Row],[Exam Weight (%)]]</f>
        <v>30</v>
      </c>
      <c r="W5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4" spans="1:23">
      <c r="A54" s="3" t="s">
        <v>192</v>
      </c>
      <c r="B54" s="3" t="s">
        <v>112</v>
      </c>
      <c r="C54" s="3" t="s">
        <v>155</v>
      </c>
      <c r="D54" s="2" t="s">
        <v>180</v>
      </c>
      <c r="E54" s="3" t="s">
        <v>148</v>
      </c>
      <c r="F54" s="2">
        <v>7</v>
      </c>
      <c r="G54" s="2">
        <v>10</v>
      </c>
      <c r="H54" s="2" t="s">
        <v>144</v>
      </c>
      <c r="I54" t="s">
        <v>144</v>
      </c>
      <c r="J54" t="s">
        <v>144</v>
      </c>
      <c r="K54" t="s">
        <v>144</v>
      </c>
      <c r="L54" s="6"/>
      <c r="M54" s="6"/>
      <c r="N54" s="6"/>
      <c r="O54" s="6"/>
      <c r="P54" s="6"/>
      <c r="Q54" s="6"/>
      <c r="R54" s="6"/>
      <c r="S54" s="6"/>
      <c r="T54" s="6">
        <v>2</v>
      </c>
      <c r="U54">
        <v>40</v>
      </c>
      <c r="V54">
        <f>100-Table2[[#This Row],[Exam Weight (%)]]</f>
        <v>60</v>
      </c>
      <c r="W5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55" spans="1:23">
      <c r="A55" s="3" t="s">
        <v>193</v>
      </c>
      <c r="B55" s="3" t="s">
        <v>113</v>
      </c>
      <c r="C55" s="3" t="s">
        <v>156</v>
      </c>
      <c r="D55" s="2" t="s">
        <v>180</v>
      </c>
      <c r="E55" s="3" t="s">
        <v>148</v>
      </c>
      <c r="F55" s="2">
        <v>7</v>
      </c>
      <c r="G55" s="2">
        <v>10</v>
      </c>
      <c r="H55" s="2" t="s">
        <v>144</v>
      </c>
      <c r="I55" s="6"/>
      <c r="J55" t="s">
        <v>144</v>
      </c>
      <c r="K55" t="s">
        <v>143</v>
      </c>
      <c r="L55" s="6"/>
      <c r="M55" s="6"/>
      <c r="N55" s="6"/>
      <c r="O55" s="6"/>
      <c r="P55" s="6"/>
      <c r="Q55" s="6"/>
      <c r="R55" s="6"/>
      <c r="S55" s="6"/>
      <c r="T55" s="6">
        <v>2</v>
      </c>
      <c r="U55">
        <v>80</v>
      </c>
      <c r="V55">
        <f>100-Table2[[#This Row],[Exam Weight (%)]]</f>
        <v>20</v>
      </c>
      <c r="W5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6" spans="1:23">
      <c r="A56" s="3" t="s">
        <v>114</v>
      </c>
      <c r="B56" s="3" t="s">
        <v>115</v>
      </c>
      <c r="C56" s="3" t="s">
        <v>157</v>
      </c>
      <c r="D56" s="2" t="s">
        <v>180</v>
      </c>
      <c r="E56" s="3" t="s">
        <v>148</v>
      </c>
      <c r="F56" s="2">
        <v>7</v>
      </c>
      <c r="G56" s="2">
        <v>10</v>
      </c>
      <c r="H56" s="2" t="s">
        <v>144</v>
      </c>
      <c r="I56" t="s">
        <v>144</v>
      </c>
      <c r="J56" t="s">
        <v>144</v>
      </c>
      <c r="K56" t="s">
        <v>144</v>
      </c>
      <c r="L56" s="6"/>
      <c r="M56" s="6"/>
      <c r="N56" s="6"/>
      <c r="O56" s="6"/>
      <c r="P56" s="6"/>
      <c r="Q56" s="6"/>
      <c r="R56" s="6"/>
      <c r="S56" s="6"/>
      <c r="T56" s="6">
        <v>3</v>
      </c>
      <c r="U56">
        <v>0</v>
      </c>
      <c r="V56">
        <f>100-Table2[[#This Row],[Exam Weight (%)]]</f>
        <v>100</v>
      </c>
      <c r="W5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7" spans="1:23">
      <c r="A57" s="3" t="s">
        <v>116</v>
      </c>
      <c r="B57" s="3" t="s">
        <v>117</v>
      </c>
      <c r="C57" s="3" t="s">
        <v>158</v>
      </c>
      <c r="D57" s="2" t="s">
        <v>180</v>
      </c>
      <c r="E57" s="3" t="s">
        <v>148</v>
      </c>
      <c r="F57" s="2">
        <v>7</v>
      </c>
      <c r="G57" s="2">
        <v>10</v>
      </c>
      <c r="H57" s="2" t="s">
        <v>144</v>
      </c>
      <c r="I57" t="s">
        <v>144</v>
      </c>
      <c r="J57" t="s">
        <v>144</v>
      </c>
      <c r="K57" t="s">
        <v>144</v>
      </c>
      <c r="L57" s="6"/>
      <c r="M57" s="6"/>
      <c r="N57" s="6"/>
      <c r="O57" s="6"/>
      <c r="P57" s="6"/>
      <c r="Q57" s="6"/>
      <c r="R57" s="6"/>
      <c r="S57" s="6"/>
      <c r="T57" s="6">
        <v>2</v>
      </c>
      <c r="U57">
        <v>70</v>
      </c>
      <c r="V57">
        <f>100-Table2[[#This Row],[Exam Weight (%)]]</f>
        <v>30</v>
      </c>
      <c r="W5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8" spans="1:23">
      <c r="A58" s="3" t="s">
        <v>68</v>
      </c>
      <c r="B58" s="3" t="s">
        <v>159</v>
      </c>
      <c r="C58" s="3" t="s">
        <v>160</v>
      </c>
      <c r="D58" s="2" t="s">
        <v>180</v>
      </c>
      <c r="E58" s="3" t="s">
        <v>148</v>
      </c>
      <c r="F58" s="2">
        <v>7</v>
      </c>
      <c r="G58" s="2">
        <v>10</v>
      </c>
      <c r="H58" s="2" t="s">
        <v>144</v>
      </c>
      <c r="I58" t="s">
        <v>144</v>
      </c>
      <c r="J58" s="6"/>
      <c r="K58" s="6"/>
      <c r="L58" s="6"/>
      <c r="M58" s="6"/>
      <c r="N58" s="6"/>
      <c r="O58" s="6"/>
      <c r="P58" s="6"/>
      <c r="Q58" s="6"/>
      <c r="R58" s="6"/>
      <c r="S58" s="6"/>
      <c r="T58" s="6">
        <v>2</v>
      </c>
      <c r="U58">
        <v>50</v>
      </c>
      <c r="V58">
        <f>100-Table2[[#This Row],[Exam Weight (%)]]</f>
        <v>50</v>
      </c>
      <c r="W5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9" spans="1:23">
      <c r="A59" s="3" t="s">
        <v>194</v>
      </c>
      <c r="B59" s="3" t="s">
        <v>118</v>
      </c>
      <c r="C59" s="3" t="s">
        <v>161</v>
      </c>
      <c r="D59" s="2" t="s">
        <v>180</v>
      </c>
      <c r="E59" s="3" t="s">
        <v>148</v>
      </c>
      <c r="F59" s="2">
        <v>7</v>
      </c>
      <c r="G59" s="2">
        <v>10</v>
      </c>
      <c r="H59" s="2" t="s">
        <v>144</v>
      </c>
      <c r="I59" t="s">
        <v>144</v>
      </c>
      <c r="J59" t="s">
        <v>144</v>
      </c>
      <c r="K59" t="s">
        <v>144</v>
      </c>
      <c r="L59" s="6"/>
      <c r="M59" s="6"/>
      <c r="N59" s="6"/>
      <c r="O59" s="6"/>
      <c r="P59" s="6"/>
      <c r="Q59" s="6"/>
      <c r="R59" s="6"/>
      <c r="S59" s="6"/>
      <c r="T59" s="6">
        <v>3</v>
      </c>
      <c r="U59">
        <v>60</v>
      </c>
      <c r="V59">
        <f>100-Table2[[#This Row],[Exam Weight (%)]]</f>
        <v>40</v>
      </c>
      <c r="W5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60" spans="1:23">
      <c r="A60" s="3" t="s">
        <v>195</v>
      </c>
      <c r="B60" s="3" t="s">
        <v>119</v>
      </c>
      <c r="C60" s="3" t="s">
        <v>162</v>
      </c>
      <c r="D60" s="2" t="s">
        <v>180</v>
      </c>
      <c r="E60" s="3" t="s">
        <v>148</v>
      </c>
      <c r="F60" s="2">
        <v>7</v>
      </c>
      <c r="G60" s="2">
        <v>10</v>
      </c>
      <c r="H60" s="2" t="s">
        <v>144</v>
      </c>
      <c r="I60" t="s">
        <v>144</v>
      </c>
      <c r="J60" t="s">
        <v>144</v>
      </c>
      <c r="K60" t="s">
        <v>144</v>
      </c>
      <c r="L60" s="6"/>
      <c r="M60" s="6"/>
      <c r="N60" s="6"/>
      <c r="O60" s="6"/>
      <c r="P60" s="6"/>
      <c r="Q60" s="6"/>
      <c r="R60" s="6"/>
      <c r="S60" s="6"/>
      <c r="T60" s="6">
        <v>2</v>
      </c>
      <c r="U60">
        <v>0</v>
      </c>
      <c r="V60">
        <f>100-Table2[[#This Row],[Exam Weight (%)]]</f>
        <v>100</v>
      </c>
      <c r="W6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1" spans="1:23">
      <c r="A61" s="3" t="s">
        <v>239</v>
      </c>
      <c r="B61" s="3" t="s">
        <v>240</v>
      </c>
      <c r="C61" s="3" t="s">
        <v>250</v>
      </c>
      <c r="D61" s="28" t="s">
        <v>180</v>
      </c>
      <c r="E61" s="3" t="s">
        <v>148</v>
      </c>
      <c r="F61" s="4">
        <v>7</v>
      </c>
      <c r="G61" s="28">
        <v>10</v>
      </c>
      <c r="H61" s="28" t="s">
        <v>144</v>
      </c>
      <c r="I61" t="s">
        <v>144</v>
      </c>
      <c r="J61" t="s">
        <v>144</v>
      </c>
      <c r="K61" t="s">
        <v>144</v>
      </c>
      <c r="L61" s="6"/>
      <c r="M61" s="6"/>
      <c r="N61" s="6"/>
      <c r="O61" s="6"/>
      <c r="P61" s="6"/>
      <c r="Q61" s="6"/>
      <c r="R61" s="6"/>
      <c r="S61" s="6"/>
      <c r="T61" s="6">
        <v>2</v>
      </c>
      <c r="U61">
        <v>50</v>
      </c>
      <c r="V61">
        <f>100-Table2[[#This Row],[Exam Weight (%)]]</f>
        <v>50</v>
      </c>
      <c r="W6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62" spans="1:23">
      <c r="A62" s="4" t="s">
        <v>74</v>
      </c>
      <c r="B62" s="2" t="s">
        <v>23</v>
      </c>
      <c r="C62" s="2"/>
      <c r="D62" s="2" t="s">
        <v>180</v>
      </c>
      <c r="E62" s="2" t="s">
        <v>149</v>
      </c>
      <c r="F62" s="2">
        <v>7</v>
      </c>
      <c r="G62" s="2">
        <v>60</v>
      </c>
      <c r="H62" s="2" t="s">
        <v>143</v>
      </c>
      <c r="I62" t="s">
        <v>143</v>
      </c>
      <c r="J62" t="s">
        <v>143</v>
      </c>
      <c r="K62" t="s">
        <v>143</v>
      </c>
      <c r="L62" s="6"/>
      <c r="M62" s="6"/>
      <c r="N62" s="6"/>
      <c r="O62" s="6"/>
      <c r="P62" s="6"/>
      <c r="Q62" s="6"/>
      <c r="R62" s="6"/>
      <c r="S62" s="6"/>
      <c r="T62" s="6">
        <v>0.5</v>
      </c>
      <c r="U62">
        <v>25</v>
      </c>
      <c r="V62">
        <f>100-Table2[[#This Row],[Exam Weight (%)]]</f>
        <v>75</v>
      </c>
      <c r="W6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75</v>
      </c>
    </row>
    <row r="63" spans="1:23">
      <c r="A63" s="3" t="s">
        <v>249</v>
      </c>
      <c r="B63" s="3" t="s">
        <v>236</v>
      </c>
      <c r="C63" s="3" t="s">
        <v>248</v>
      </c>
      <c r="D63" s="28" t="s">
        <v>178</v>
      </c>
      <c r="E63" s="3" t="s">
        <v>147</v>
      </c>
      <c r="F63" s="4">
        <v>7</v>
      </c>
      <c r="G63" s="2">
        <v>10</v>
      </c>
      <c r="H63" s="2"/>
      <c r="M63" t="s">
        <v>144</v>
      </c>
      <c r="N63" t="s">
        <v>144</v>
      </c>
      <c r="T63">
        <f>INDEX(T2:T62,MATCH(Table2[[#This Row],[Alternative Module Code]],A2:A62,0))</f>
        <v>3</v>
      </c>
      <c r="U63">
        <v>70</v>
      </c>
      <c r="V63">
        <f>100-Table2[[#This Row],[Exam Weight (%)]]</f>
        <v>30</v>
      </c>
      <c r="W6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4" spans="1:23">
      <c r="A64" s="3" t="s">
        <v>126</v>
      </c>
      <c r="B64" s="3" t="s">
        <v>9</v>
      </c>
      <c r="C64" s="3" t="s">
        <v>8</v>
      </c>
      <c r="D64" s="28" t="s">
        <v>178</v>
      </c>
      <c r="E64" s="3" t="s">
        <v>147</v>
      </c>
      <c r="F64" s="4">
        <v>7</v>
      </c>
      <c r="G64" s="2">
        <v>10</v>
      </c>
      <c r="H64" s="2"/>
      <c r="M64" t="s">
        <v>144</v>
      </c>
      <c r="N64" t="s">
        <v>144</v>
      </c>
      <c r="O64" t="s">
        <v>144</v>
      </c>
      <c r="R64" t="s">
        <v>144</v>
      </c>
      <c r="T64">
        <f>INDEX(T3:T63,MATCH(Table2[[#This Row],[Alternative Module Code]],A3:A63,0))</f>
        <v>2</v>
      </c>
      <c r="U64">
        <v>0</v>
      </c>
      <c r="V64">
        <f>100-Table2[[#This Row],[Exam Weight (%)]]</f>
        <v>100</v>
      </c>
      <c r="W6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5" spans="1:23">
      <c r="A65" s="3" t="s">
        <v>127</v>
      </c>
      <c r="B65" s="3" t="s">
        <v>11</v>
      </c>
      <c r="C65" s="3" t="s">
        <v>10</v>
      </c>
      <c r="D65" s="28" t="s">
        <v>178</v>
      </c>
      <c r="E65" s="3" t="s">
        <v>147</v>
      </c>
      <c r="F65" s="4">
        <v>7</v>
      </c>
      <c r="G65" s="2">
        <v>10</v>
      </c>
      <c r="H65" s="2"/>
      <c r="M65" t="s">
        <v>144</v>
      </c>
      <c r="O65" t="s">
        <v>144</v>
      </c>
      <c r="Q65" t="s">
        <v>144</v>
      </c>
      <c r="T65">
        <f>INDEX(T4:T64,MATCH(Table2[[#This Row],[Alternative Module Code]],A4:A64,0))</f>
        <v>2</v>
      </c>
      <c r="U65">
        <v>80</v>
      </c>
      <c r="V65">
        <f>100-Table2[[#This Row],[Exam Weight (%)]]</f>
        <v>20</v>
      </c>
      <c r="W6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66" spans="1:23">
      <c r="A66" s="3" t="s">
        <v>128</v>
      </c>
      <c r="B66" s="3" t="s">
        <v>13</v>
      </c>
      <c r="C66" s="3" t="s">
        <v>14</v>
      </c>
      <c r="D66" s="28" t="s">
        <v>178</v>
      </c>
      <c r="E66" s="3" t="s">
        <v>147</v>
      </c>
      <c r="F66" s="4">
        <v>7</v>
      </c>
      <c r="G66" s="2">
        <v>10</v>
      </c>
      <c r="H66" s="2"/>
      <c r="M66" t="s">
        <v>144</v>
      </c>
      <c r="N66" t="s">
        <v>144</v>
      </c>
      <c r="T66">
        <f>INDEX(T5:T65,MATCH(Table2[[#This Row],[Alternative Module Code]],A5:A65,0))</f>
        <v>2</v>
      </c>
      <c r="U66">
        <v>0</v>
      </c>
      <c r="V66">
        <f>100-Table2[[#This Row],[Exam Weight (%)]]</f>
        <v>100</v>
      </c>
      <c r="W6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7" spans="1:23">
      <c r="A67" s="3" t="s">
        <v>129</v>
      </c>
      <c r="B67" s="3" t="s">
        <v>145</v>
      </c>
      <c r="C67" s="3" t="s">
        <v>15</v>
      </c>
      <c r="D67" s="28" t="s">
        <v>178</v>
      </c>
      <c r="E67" s="3" t="s">
        <v>147</v>
      </c>
      <c r="F67" s="4">
        <v>7</v>
      </c>
      <c r="G67" s="2">
        <v>10</v>
      </c>
      <c r="H67" s="2"/>
      <c r="M67" t="s">
        <v>144</v>
      </c>
      <c r="N67" t="s">
        <v>144</v>
      </c>
      <c r="T67">
        <f>INDEX(T6:T66,MATCH(Table2[[#This Row],[Alternative Module Code]],A6:A66,0))</f>
        <v>2</v>
      </c>
      <c r="U67">
        <v>0</v>
      </c>
      <c r="V67">
        <f>100-Table2[[#This Row],[Exam Weight (%)]]</f>
        <v>100</v>
      </c>
      <c r="W6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8" spans="1:23">
      <c r="A68" s="3" t="s">
        <v>130</v>
      </c>
      <c r="B68" s="3" t="s">
        <v>17</v>
      </c>
      <c r="C68" s="3" t="s">
        <v>16</v>
      </c>
      <c r="D68" s="28" t="s">
        <v>178</v>
      </c>
      <c r="E68" s="3" t="s">
        <v>147</v>
      </c>
      <c r="F68" s="4">
        <v>7</v>
      </c>
      <c r="G68" s="2">
        <v>10</v>
      </c>
      <c r="H68" s="2"/>
      <c r="M68" t="s">
        <v>144</v>
      </c>
      <c r="O68" t="s">
        <v>144</v>
      </c>
      <c r="Q68" t="s">
        <v>144</v>
      </c>
      <c r="T68">
        <f>INDEX(T7:T67,MATCH(Table2[[#This Row],[Alternative Module Code]],A7:A67,0))</f>
        <v>2</v>
      </c>
      <c r="U68">
        <v>70</v>
      </c>
      <c r="V68">
        <f>100-Table2[[#This Row],[Exam Weight (%)]]</f>
        <v>30</v>
      </c>
      <c r="W6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9" spans="1:23">
      <c r="A69" s="3" t="s">
        <v>131</v>
      </c>
      <c r="B69" s="3" t="s">
        <v>19</v>
      </c>
      <c r="C69" s="3" t="s">
        <v>18</v>
      </c>
      <c r="D69" s="28" t="s">
        <v>178</v>
      </c>
      <c r="E69" s="3" t="s">
        <v>147</v>
      </c>
      <c r="F69" s="4">
        <v>7</v>
      </c>
      <c r="G69" s="2">
        <v>10</v>
      </c>
      <c r="H69" s="2"/>
      <c r="M69" t="s">
        <v>144</v>
      </c>
      <c r="N69" t="s">
        <v>144</v>
      </c>
      <c r="O69" t="s">
        <v>144</v>
      </c>
      <c r="P69" t="s">
        <v>144</v>
      </c>
      <c r="T69">
        <f>INDEX(T8:T68,MATCH(Table2[[#This Row],[Alternative Module Code]],A8:A68,0))</f>
        <v>2</v>
      </c>
      <c r="U69">
        <v>70</v>
      </c>
      <c r="V69">
        <f>100-Table2[[#This Row],[Exam Weight (%)]]</f>
        <v>30</v>
      </c>
      <c r="W6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0" spans="1:23">
      <c r="A70" s="3" t="s">
        <v>132</v>
      </c>
      <c r="B70" s="3" t="s">
        <v>20</v>
      </c>
      <c r="C70" s="3" t="s">
        <v>24</v>
      </c>
      <c r="D70" s="28" t="s">
        <v>178</v>
      </c>
      <c r="E70" s="3" t="s">
        <v>147</v>
      </c>
      <c r="F70" s="4">
        <v>7</v>
      </c>
      <c r="G70" s="2">
        <v>10</v>
      </c>
      <c r="H70" s="2"/>
      <c r="M70" t="s">
        <v>144</v>
      </c>
      <c r="N70" t="s">
        <v>144</v>
      </c>
      <c r="O70" t="s">
        <v>144</v>
      </c>
      <c r="R70" t="s">
        <v>144</v>
      </c>
      <c r="T70">
        <f>INDEX(T9:T69,MATCH(Table2[[#This Row],[Alternative Module Code]],A9:A69,0))</f>
        <v>3</v>
      </c>
      <c r="U70">
        <v>0</v>
      </c>
      <c r="V70">
        <f>100-Table2[[#This Row],[Exam Weight (%)]]</f>
        <v>100</v>
      </c>
      <c r="W7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1" spans="1:23">
      <c r="A71" s="3" t="s">
        <v>150</v>
      </c>
      <c r="B71" s="3" t="s">
        <v>98</v>
      </c>
      <c r="C71" s="3" t="s">
        <v>189</v>
      </c>
      <c r="D71" s="28" t="s">
        <v>178</v>
      </c>
      <c r="E71" s="3" t="s">
        <v>148</v>
      </c>
      <c r="F71" s="4">
        <v>7</v>
      </c>
      <c r="G71" s="2">
        <v>10</v>
      </c>
      <c r="H71" s="2"/>
      <c r="M71" t="s">
        <v>144</v>
      </c>
      <c r="O71" t="s">
        <v>144</v>
      </c>
      <c r="Q71" t="s">
        <v>144</v>
      </c>
      <c r="T71">
        <f>INDEX(T10:T70,MATCH(Table2[[#This Row],[Alternative Module Code]],A10:A70,0))</f>
        <v>2</v>
      </c>
      <c r="U71">
        <v>60</v>
      </c>
      <c r="V71">
        <f>100-Table2[[#This Row],[Exam Weight (%)]]</f>
        <v>40</v>
      </c>
      <c r="W7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72" spans="1:23">
      <c r="A72" s="3" t="s">
        <v>151</v>
      </c>
      <c r="B72" s="3" t="s">
        <v>99</v>
      </c>
      <c r="C72" s="3" t="s">
        <v>109</v>
      </c>
      <c r="D72" s="28" t="s">
        <v>178</v>
      </c>
      <c r="E72" s="3" t="s">
        <v>148</v>
      </c>
      <c r="F72" s="4">
        <v>7</v>
      </c>
      <c r="G72" s="2">
        <v>10</v>
      </c>
      <c r="H72" s="2"/>
      <c r="M72" t="s">
        <v>144</v>
      </c>
      <c r="N72" t="s">
        <v>144</v>
      </c>
      <c r="R72" t="s">
        <v>144</v>
      </c>
      <c r="S72" t="s">
        <v>144</v>
      </c>
      <c r="T72">
        <f>INDEX(T13:T71,MATCH(Table2[[#This Row],[Alternative Module Code]],A13:A71,0))</f>
        <v>2</v>
      </c>
      <c r="U72">
        <v>0</v>
      </c>
      <c r="V72">
        <f>100-Table2[[#This Row],[Exam Weight (%)]]</f>
        <v>100</v>
      </c>
      <c r="W7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73" spans="1:23">
      <c r="A73" s="3" t="s">
        <v>152</v>
      </c>
      <c r="B73" s="3" t="s">
        <v>101</v>
      </c>
      <c r="C73" s="3" t="s">
        <v>100</v>
      </c>
      <c r="D73" s="28" t="s">
        <v>178</v>
      </c>
      <c r="E73" s="3" t="s">
        <v>148</v>
      </c>
      <c r="F73" s="4">
        <v>7</v>
      </c>
      <c r="G73" s="2">
        <v>10</v>
      </c>
      <c r="H73" s="2"/>
      <c r="M73" t="s">
        <v>144</v>
      </c>
      <c r="O73" t="s">
        <v>144</v>
      </c>
      <c r="Q73" t="s">
        <v>144</v>
      </c>
      <c r="T73">
        <f>INDEX(T14:T72,MATCH(Table2[[#This Row],[Alternative Module Code]],A14:A72,0))</f>
        <v>2</v>
      </c>
      <c r="U73">
        <v>80</v>
      </c>
      <c r="V73">
        <f>100-Table2[[#This Row],[Exam Weight (%)]]</f>
        <v>20</v>
      </c>
      <c r="W7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4" spans="1:23">
      <c r="A74" s="3" t="s">
        <v>381</v>
      </c>
      <c r="B74" s="3" t="s">
        <v>362</v>
      </c>
      <c r="C74" s="3" t="s">
        <v>108</v>
      </c>
      <c r="D74" s="28" t="s">
        <v>178</v>
      </c>
      <c r="E74" s="46" t="s">
        <v>382</v>
      </c>
      <c r="F74" s="47">
        <v>7</v>
      </c>
      <c r="G74" s="48">
        <v>10</v>
      </c>
      <c r="H74" s="28"/>
      <c r="I74" s="49"/>
      <c r="K74" s="49"/>
      <c r="L74" s="49"/>
      <c r="M74" t="s">
        <v>144</v>
      </c>
      <c r="N74" s="49" t="s">
        <v>144</v>
      </c>
      <c r="O74" s="49" t="s">
        <v>144</v>
      </c>
      <c r="P74" s="49" t="s">
        <v>144</v>
      </c>
      <c r="Q74" s="49" t="s">
        <v>144</v>
      </c>
      <c r="R74" t="s">
        <v>144</v>
      </c>
      <c r="S74" t="s">
        <v>144</v>
      </c>
      <c r="T74">
        <v>2</v>
      </c>
      <c r="U74" s="49">
        <v>80</v>
      </c>
      <c r="V74" s="50">
        <f>100-Table2[[#This Row],[Exam Weight (%)]]</f>
        <v>20</v>
      </c>
      <c r="W74" s="5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5" spans="1:23">
      <c r="A75" s="3" t="s">
        <v>133</v>
      </c>
      <c r="B75" s="3" t="s">
        <v>62</v>
      </c>
      <c r="C75" s="3" t="s">
        <v>61</v>
      </c>
      <c r="D75" s="28" t="s">
        <v>178</v>
      </c>
      <c r="E75" s="3" t="s">
        <v>147</v>
      </c>
      <c r="F75" s="4">
        <v>7</v>
      </c>
      <c r="G75" s="2">
        <v>10</v>
      </c>
      <c r="H75" s="2"/>
      <c r="M75" t="s">
        <v>144</v>
      </c>
      <c r="N75" t="s">
        <v>144</v>
      </c>
      <c r="O75" t="s">
        <v>144</v>
      </c>
      <c r="Q75" t="s">
        <v>144</v>
      </c>
      <c r="T75">
        <f>INDEX(T16:T73,MATCH(Table2[[#This Row],[Alternative Module Code]],A16:A73,0))</f>
        <v>2</v>
      </c>
      <c r="U75">
        <v>70</v>
      </c>
      <c r="V75">
        <f>100-Table2[[#This Row],[Exam Weight (%)]]</f>
        <v>30</v>
      </c>
      <c r="W7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6" spans="1:23">
      <c r="A76" s="3" t="s">
        <v>251</v>
      </c>
      <c r="B76" s="3" t="s">
        <v>237</v>
      </c>
      <c r="C76" s="3" t="s">
        <v>238</v>
      </c>
      <c r="D76" s="28" t="s">
        <v>178</v>
      </c>
      <c r="E76" s="3" t="s">
        <v>147</v>
      </c>
      <c r="F76" s="4">
        <v>7</v>
      </c>
      <c r="G76" s="2">
        <v>10</v>
      </c>
      <c r="H76" s="2"/>
      <c r="M76" t="s">
        <v>144</v>
      </c>
      <c r="N76" t="s">
        <v>144</v>
      </c>
      <c r="O76" t="s">
        <v>144</v>
      </c>
      <c r="R76" t="s">
        <v>144</v>
      </c>
      <c r="S76" t="s">
        <v>144</v>
      </c>
      <c r="T76">
        <f>INDEX(T17:T75,MATCH(Table2[[#This Row],[Alternative Module Code]],A17:A75,0))</f>
        <v>2</v>
      </c>
      <c r="U76">
        <v>70</v>
      </c>
      <c r="V76">
        <f>100-Table2[[#This Row],[Exam Weight (%)]]</f>
        <v>30</v>
      </c>
      <c r="W7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7" spans="1:23">
      <c r="A77" s="3" t="s">
        <v>134</v>
      </c>
      <c r="B77" s="3" t="s">
        <v>64</v>
      </c>
      <c r="C77" s="3" t="s">
        <v>63</v>
      </c>
      <c r="D77" s="28" t="s">
        <v>178</v>
      </c>
      <c r="E77" s="3" t="s">
        <v>147</v>
      </c>
      <c r="F77" s="4">
        <v>7</v>
      </c>
      <c r="G77" s="2">
        <v>10</v>
      </c>
      <c r="H77" s="2"/>
      <c r="M77" t="s">
        <v>144</v>
      </c>
      <c r="N77" t="s">
        <v>144</v>
      </c>
      <c r="R77" t="s">
        <v>143</v>
      </c>
      <c r="S77" t="s">
        <v>143</v>
      </c>
      <c r="T77">
        <f>INDEX(T18:T76,MATCH(Table2[[#This Row],[Alternative Module Code]],A18:A76,0))</f>
        <v>2</v>
      </c>
      <c r="U77">
        <v>75</v>
      </c>
      <c r="V77">
        <f>100-Table2[[#This Row],[Exam Weight (%)]]</f>
        <v>25</v>
      </c>
      <c r="W7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78" spans="1:23">
      <c r="A78" s="3" t="s">
        <v>135</v>
      </c>
      <c r="B78" s="3" t="s">
        <v>67</v>
      </c>
      <c r="C78" s="3" t="s">
        <v>66</v>
      </c>
      <c r="D78" s="28" t="s">
        <v>178</v>
      </c>
      <c r="E78" s="3" t="s">
        <v>147</v>
      </c>
      <c r="F78" s="4">
        <v>7</v>
      </c>
      <c r="G78" s="2">
        <v>10</v>
      </c>
      <c r="H78" s="2"/>
      <c r="M78" t="s">
        <v>144</v>
      </c>
      <c r="N78" t="s">
        <v>144</v>
      </c>
      <c r="P78" t="s">
        <v>144</v>
      </c>
      <c r="R78" t="s">
        <v>144</v>
      </c>
      <c r="S78" t="s">
        <v>144</v>
      </c>
      <c r="T78">
        <f>INDEX(T20:T77,MATCH(Table2[[#This Row],[Alternative Module Code]],A20:A77,0))</f>
        <v>3</v>
      </c>
      <c r="U78">
        <v>70</v>
      </c>
      <c r="V78">
        <f>100-Table2[[#This Row],[Exam Weight (%)]]</f>
        <v>30</v>
      </c>
      <c r="W7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9" spans="1:23">
      <c r="A79" s="3" t="s">
        <v>136</v>
      </c>
      <c r="B79" s="3" t="s">
        <v>70</v>
      </c>
      <c r="C79" s="3" t="s">
        <v>69</v>
      </c>
      <c r="D79" s="28" t="s">
        <v>178</v>
      </c>
      <c r="E79" s="3" t="s">
        <v>147</v>
      </c>
      <c r="F79" s="4">
        <v>7</v>
      </c>
      <c r="G79" s="2">
        <v>10</v>
      </c>
      <c r="H79" s="2"/>
      <c r="M79" t="s">
        <v>144</v>
      </c>
      <c r="N79" t="s">
        <v>144</v>
      </c>
      <c r="O79" t="s">
        <v>144</v>
      </c>
      <c r="P79" t="s">
        <v>143</v>
      </c>
      <c r="Q79" t="s">
        <v>143</v>
      </c>
      <c r="R79" t="s">
        <v>144</v>
      </c>
      <c r="S79" t="s">
        <v>144</v>
      </c>
      <c r="T79">
        <f>INDEX(T21:T78,MATCH(Table2[[#This Row],[Alternative Module Code]],A21:A78,0))</f>
        <v>2</v>
      </c>
      <c r="U79">
        <v>0</v>
      </c>
      <c r="V79">
        <f>100-Table2[[#This Row],[Exam Weight (%)]]</f>
        <v>100</v>
      </c>
      <c r="W7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0" spans="1:23">
      <c r="A80" s="3" t="s">
        <v>137</v>
      </c>
      <c r="B80" s="3" t="s">
        <v>72</v>
      </c>
      <c r="C80" s="3" t="s">
        <v>71</v>
      </c>
      <c r="D80" s="28" t="s">
        <v>178</v>
      </c>
      <c r="E80" s="3" t="s">
        <v>147</v>
      </c>
      <c r="F80" s="4">
        <v>7</v>
      </c>
      <c r="G80" s="2">
        <v>10</v>
      </c>
      <c r="H80" s="2"/>
      <c r="M80" t="s">
        <v>144</v>
      </c>
      <c r="N80" t="s">
        <v>144</v>
      </c>
      <c r="O80" t="s">
        <v>144</v>
      </c>
      <c r="R80" t="s">
        <v>144</v>
      </c>
      <c r="S80" t="s">
        <v>144</v>
      </c>
      <c r="T80">
        <f>INDEX(T22:T79,MATCH(Table2[[#This Row],[Alternative Module Code]],A22:A79,0))</f>
        <v>2</v>
      </c>
      <c r="U80">
        <v>50</v>
      </c>
      <c r="V80">
        <f>100-Table2[[#This Row],[Exam Weight (%)]]</f>
        <v>50</v>
      </c>
      <c r="W8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1" spans="1:23">
      <c r="A81" s="3" t="s">
        <v>154</v>
      </c>
      <c r="B81" s="3" t="s">
        <v>110</v>
      </c>
      <c r="C81" s="3" t="s">
        <v>190</v>
      </c>
      <c r="D81" s="28" t="s">
        <v>178</v>
      </c>
      <c r="E81" s="3" t="s">
        <v>148</v>
      </c>
      <c r="F81" s="4">
        <v>7</v>
      </c>
      <c r="G81" s="2">
        <v>10</v>
      </c>
      <c r="H81" s="2"/>
      <c r="M81" t="s">
        <v>144</v>
      </c>
      <c r="N81" t="s">
        <v>144</v>
      </c>
      <c r="P81" t="s">
        <v>144</v>
      </c>
      <c r="R81" t="s">
        <v>144</v>
      </c>
      <c r="S81" t="s">
        <v>144</v>
      </c>
      <c r="T81">
        <f>INDEX(T23:T80,MATCH(Table2[[#This Row],[Alternative Module Code]],A23:A80,0))</f>
        <v>2</v>
      </c>
      <c r="U81">
        <v>80</v>
      </c>
      <c r="V81">
        <f>100-Table2[[#This Row],[Exam Weight (%)]]</f>
        <v>20</v>
      </c>
      <c r="W8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2" spans="1:23">
      <c r="A82" s="3" t="s">
        <v>153</v>
      </c>
      <c r="B82" s="3" t="s">
        <v>111</v>
      </c>
      <c r="C82" s="3" t="s">
        <v>191</v>
      </c>
      <c r="D82" s="28" t="s">
        <v>178</v>
      </c>
      <c r="E82" s="3" t="s">
        <v>148</v>
      </c>
      <c r="F82" s="4">
        <v>7</v>
      </c>
      <c r="G82" s="2">
        <v>10</v>
      </c>
      <c r="H82" s="2"/>
      <c r="M82" t="s">
        <v>144</v>
      </c>
      <c r="N82" t="s">
        <v>144</v>
      </c>
      <c r="O82" t="s">
        <v>144</v>
      </c>
      <c r="P82" t="s">
        <v>144</v>
      </c>
      <c r="Q82" t="s">
        <v>144</v>
      </c>
      <c r="T82">
        <f>INDEX(T24:T81,MATCH(Table2[[#This Row],[Alternative Module Code]],A24:A81,0))</f>
        <v>2</v>
      </c>
      <c r="U82">
        <v>70</v>
      </c>
      <c r="V82">
        <f>100-Table2[[#This Row],[Exam Weight (%)]]</f>
        <v>30</v>
      </c>
      <c r="W8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3" spans="1:23">
      <c r="A83" s="3" t="s">
        <v>155</v>
      </c>
      <c r="B83" s="3" t="s">
        <v>112</v>
      </c>
      <c r="C83" s="3" t="s">
        <v>192</v>
      </c>
      <c r="D83" s="28" t="s">
        <v>178</v>
      </c>
      <c r="E83" s="3" t="s">
        <v>148</v>
      </c>
      <c r="F83" s="4">
        <v>7</v>
      </c>
      <c r="G83" s="2">
        <v>10</v>
      </c>
      <c r="H83" s="2"/>
      <c r="M83" t="s">
        <v>144</v>
      </c>
      <c r="N83" t="s">
        <v>144</v>
      </c>
      <c r="O83" t="s">
        <v>144</v>
      </c>
      <c r="P83" t="s">
        <v>144</v>
      </c>
      <c r="Q83" t="s">
        <v>144</v>
      </c>
      <c r="R83" t="s">
        <v>144</v>
      </c>
      <c r="T83">
        <f>INDEX(T25:T82,MATCH(Table2[[#This Row],[Alternative Module Code]],A25:A82,0))</f>
        <v>2</v>
      </c>
      <c r="U83">
        <v>40</v>
      </c>
      <c r="V83">
        <f>100-Table2[[#This Row],[Exam Weight (%)]]</f>
        <v>60</v>
      </c>
      <c r="W8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84" spans="1:23">
      <c r="A84" s="3" t="s">
        <v>156</v>
      </c>
      <c r="B84" s="3" t="s">
        <v>113</v>
      </c>
      <c r="C84" s="3" t="s">
        <v>193</v>
      </c>
      <c r="D84" s="28" t="s">
        <v>178</v>
      </c>
      <c r="E84" s="3" t="s">
        <v>148</v>
      </c>
      <c r="F84" s="4">
        <v>7</v>
      </c>
      <c r="G84" s="2">
        <v>10</v>
      </c>
      <c r="H84" s="2"/>
      <c r="M84" t="s">
        <v>144</v>
      </c>
      <c r="O84" t="s">
        <v>144</v>
      </c>
      <c r="Q84" t="s">
        <v>144</v>
      </c>
      <c r="T84">
        <f>INDEX(T26:T83,MATCH(Table2[[#This Row],[Alternative Module Code]],A26:A83,0))</f>
        <v>2</v>
      </c>
      <c r="U84">
        <v>80</v>
      </c>
      <c r="V84">
        <f>100-Table2[[#This Row],[Exam Weight (%)]]</f>
        <v>20</v>
      </c>
      <c r="W8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5" spans="1:23">
      <c r="A85" s="3" t="s">
        <v>157</v>
      </c>
      <c r="B85" s="3" t="s">
        <v>115</v>
      </c>
      <c r="C85" s="3" t="s">
        <v>114</v>
      </c>
      <c r="D85" s="28" t="s">
        <v>178</v>
      </c>
      <c r="E85" s="3" t="s">
        <v>148</v>
      </c>
      <c r="F85" s="4">
        <v>7</v>
      </c>
      <c r="G85" s="2">
        <v>10</v>
      </c>
      <c r="H85" s="2"/>
      <c r="M85" t="s">
        <v>144</v>
      </c>
      <c r="N85" t="s">
        <v>144</v>
      </c>
      <c r="O85" t="s">
        <v>144</v>
      </c>
      <c r="P85" t="s">
        <v>144</v>
      </c>
      <c r="Q85" t="s">
        <v>144</v>
      </c>
      <c r="T85">
        <f>INDEX(T27:T84,MATCH(Table2[[#This Row],[Alternative Module Code]],A27:A84,0))</f>
        <v>3</v>
      </c>
      <c r="U85">
        <v>0</v>
      </c>
      <c r="V85">
        <f>100-Table2[[#This Row],[Exam Weight (%)]]</f>
        <v>100</v>
      </c>
      <c r="W8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6" spans="1:23">
      <c r="A86" s="3" t="s">
        <v>158</v>
      </c>
      <c r="B86" s="3" t="s">
        <v>117</v>
      </c>
      <c r="C86" s="3" t="s">
        <v>116</v>
      </c>
      <c r="D86" s="28" t="s">
        <v>178</v>
      </c>
      <c r="E86" s="3" t="s">
        <v>148</v>
      </c>
      <c r="F86" s="4">
        <v>7</v>
      </c>
      <c r="G86" s="2">
        <v>10</v>
      </c>
      <c r="H86" s="2"/>
      <c r="M86" t="s">
        <v>144</v>
      </c>
      <c r="N86" t="s">
        <v>144</v>
      </c>
      <c r="O86" t="s">
        <v>144</v>
      </c>
      <c r="P86" t="s">
        <v>144</v>
      </c>
      <c r="T86">
        <f>INDEX(T28:T85,MATCH(Table2[[#This Row],[Alternative Module Code]],A28:A85,0))</f>
        <v>2</v>
      </c>
      <c r="U86">
        <v>70</v>
      </c>
      <c r="V86">
        <f>100-Table2[[#This Row],[Exam Weight (%)]]</f>
        <v>30</v>
      </c>
      <c r="W8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7" spans="1:23">
      <c r="A87" s="3" t="s">
        <v>160</v>
      </c>
      <c r="B87" s="3" t="s">
        <v>159</v>
      </c>
      <c r="C87" s="3" t="s">
        <v>68</v>
      </c>
      <c r="D87" s="28" t="s">
        <v>178</v>
      </c>
      <c r="E87" s="3" t="s">
        <v>148</v>
      </c>
      <c r="F87" s="4">
        <v>7</v>
      </c>
      <c r="G87" s="2">
        <v>10</v>
      </c>
      <c r="H87" s="2"/>
      <c r="M87" t="s">
        <v>144</v>
      </c>
      <c r="R87" t="s">
        <v>143</v>
      </c>
      <c r="S87" t="s">
        <v>143</v>
      </c>
      <c r="T87">
        <f>INDEX(T29:T86,MATCH(Table2[[#This Row],[Alternative Module Code]],A29:A86,0))</f>
        <v>2</v>
      </c>
      <c r="U87">
        <v>50</v>
      </c>
      <c r="V87">
        <f>100-Table2[[#This Row],[Exam Weight (%)]]</f>
        <v>50</v>
      </c>
      <c r="W8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8" spans="1:23">
      <c r="A88" s="3" t="s">
        <v>161</v>
      </c>
      <c r="B88" s="3" t="s">
        <v>118</v>
      </c>
      <c r="C88" s="3" t="s">
        <v>194</v>
      </c>
      <c r="D88" s="28" t="s">
        <v>178</v>
      </c>
      <c r="E88" s="3" t="s">
        <v>148</v>
      </c>
      <c r="F88" s="4">
        <v>7</v>
      </c>
      <c r="G88" s="2">
        <v>10</v>
      </c>
      <c r="H88" s="2"/>
      <c r="M88" t="s">
        <v>144</v>
      </c>
      <c r="O88" t="s">
        <v>144</v>
      </c>
      <c r="Q88" t="s">
        <v>144</v>
      </c>
      <c r="T88">
        <f>INDEX(T30:T87,MATCH(Table2[[#This Row],[Alternative Module Code]],A30:A87,0))</f>
        <v>3</v>
      </c>
      <c r="U88">
        <v>60</v>
      </c>
      <c r="V88">
        <f>100-Table2[[#This Row],[Exam Weight (%)]]</f>
        <v>40</v>
      </c>
      <c r="W8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89" spans="1:23">
      <c r="A89" s="3" t="s">
        <v>162</v>
      </c>
      <c r="B89" s="3" t="s">
        <v>119</v>
      </c>
      <c r="C89" s="3" t="s">
        <v>195</v>
      </c>
      <c r="D89" s="28" t="s">
        <v>178</v>
      </c>
      <c r="E89" s="3" t="s">
        <v>148</v>
      </c>
      <c r="F89" s="4">
        <v>7</v>
      </c>
      <c r="G89" s="2">
        <v>10</v>
      </c>
      <c r="H89" s="2"/>
      <c r="M89" t="s">
        <v>144</v>
      </c>
      <c r="N89" t="s">
        <v>144</v>
      </c>
      <c r="O89" t="s">
        <v>144</v>
      </c>
      <c r="P89" t="s">
        <v>144</v>
      </c>
      <c r="Q89" t="s">
        <v>144</v>
      </c>
      <c r="T89">
        <f>INDEX(T31:T88,MATCH(Table2[[#This Row],[Alternative Module Code]],A31:A88,0))</f>
        <v>2</v>
      </c>
      <c r="U89">
        <v>0</v>
      </c>
      <c r="V89">
        <f>100-Table2[[#This Row],[Exam Weight (%)]]</f>
        <v>100</v>
      </c>
      <c r="W8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0" spans="1:23">
      <c r="A90" s="3" t="s">
        <v>250</v>
      </c>
      <c r="B90" s="3" t="s">
        <v>240</v>
      </c>
      <c r="C90" s="3" t="s">
        <v>239</v>
      </c>
      <c r="D90" s="28" t="s">
        <v>178</v>
      </c>
      <c r="E90" s="3" t="s">
        <v>148</v>
      </c>
      <c r="F90" s="4">
        <v>7</v>
      </c>
      <c r="G90" s="28">
        <v>10</v>
      </c>
      <c r="H90" s="28"/>
      <c r="M90" t="s">
        <v>144</v>
      </c>
      <c r="N90" t="s">
        <v>144</v>
      </c>
      <c r="O90" t="s">
        <v>144</v>
      </c>
      <c r="P90" t="s">
        <v>144</v>
      </c>
      <c r="Q90" t="s">
        <v>144</v>
      </c>
      <c r="T90">
        <f>INDEX(T32:T89,MATCH(Table2[[#This Row],[Alternative Module Code]],A32:A89,0))</f>
        <v>2</v>
      </c>
      <c r="U90">
        <v>50</v>
      </c>
      <c r="V90">
        <f>100-Table2[[#This Row],[Exam Weight (%)]]</f>
        <v>50</v>
      </c>
      <c r="W9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91" spans="1:23">
      <c r="A91" s="3" t="s">
        <v>242</v>
      </c>
      <c r="B91" s="3" t="s">
        <v>243</v>
      </c>
      <c r="C91" s="3"/>
      <c r="D91" s="28" t="s">
        <v>178</v>
      </c>
      <c r="E91" s="3" t="s">
        <v>147</v>
      </c>
      <c r="F91" s="4">
        <v>7</v>
      </c>
      <c r="G91" s="28">
        <v>10</v>
      </c>
      <c r="H91" s="28"/>
      <c r="M91" t="s">
        <v>144</v>
      </c>
      <c r="R91" t="s">
        <v>144</v>
      </c>
      <c r="S91" t="s">
        <v>144</v>
      </c>
      <c r="T91">
        <v>2</v>
      </c>
      <c r="U91">
        <v>0</v>
      </c>
      <c r="V91">
        <f>100-Table2[[#This Row],[Exam Weight (%)]]</f>
        <v>100</v>
      </c>
      <c r="W9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2" spans="1:23">
      <c r="A92" s="3" t="s">
        <v>244</v>
      </c>
      <c r="B92" s="3" t="s">
        <v>245</v>
      </c>
      <c r="C92" s="3"/>
      <c r="D92" s="28" t="s">
        <v>178</v>
      </c>
      <c r="E92" s="3" t="s">
        <v>147</v>
      </c>
      <c r="F92" s="4">
        <v>7</v>
      </c>
      <c r="G92" s="28">
        <v>10</v>
      </c>
      <c r="H92" s="28"/>
      <c r="M92" t="s">
        <v>144</v>
      </c>
      <c r="N92" t="s">
        <v>144</v>
      </c>
      <c r="R92" t="s">
        <v>144</v>
      </c>
      <c r="S92" t="s">
        <v>144</v>
      </c>
      <c r="T92">
        <v>2</v>
      </c>
      <c r="U92">
        <v>0</v>
      </c>
      <c r="V92">
        <f>100-Table2[[#This Row],[Exam Weight (%)]]</f>
        <v>100</v>
      </c>
      <c r="W9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3" spans="1:23">
      <c r="A93" s="3" t="s">
        <v>246</v>
      </c>
      <c r="B93" s="3" t="s">
        <v>247</v>
      </c>
      <c r="C93" s="3"/>
      <c r="D93" s="28" t="s">
        <v>178</v>
      </c>
      <c r="E93" s="3" t="s">
        <v>148</v>
      </c>
      <c r="F93" s="4">
        <v>7</v>
      </c>
      <c r="G93" s="28">
        <v>10</v>
      </c>
      <c r="H93" s="28"/>
      <c r="M93" t="s">
        <v>144</v>
      </c>
      <c r="R93" t="s">
        <v>144</v>
      </c>
      <c r="S93" t="s">
        <v>144</v>
      </c>
      <c r="T93">
        <v>2</v>
      </c>
      <c r="U93">
        <v>0</v>
      </c>
      <c r="V93">
        <f>100-Table2[[#This Row],[Exam Weight (%)]]</f>
        <v>100</v>
      </c>
      <c r="W9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4" spans="1:23">
      <c r="A94" s="3" t="s">
        <v>181</v>
      </c>
      <c r="B94" s="3" t="s">
        <v>184</v>
      </c>
      <c r="C94" s="3"/>
      <c r="D94" s="28" t="s">
        <v>178</v>
      </c>
      <c r="E94" s="3" t="s">
        <v>147</v>
      </c>
      <c r="F94" s="4">
        <v>7</v>
      </c>
      <c r="G94" s="2">
        <v>20</v>
      </c>
      <c r="H94" s="2"/>
      <c r="M94" t="s">
        <v>143</v>
      </c>
      <c r="N94" t="s">
        <v>143</v>
      </c>
      <c r="O94" t="s">
        <v>143</v>
      </c>
      <c r="P94" t="s">
        <v>143</v>
      </c>
      <c r="Q94" t="s">
        <v>143</v>
      </c>
      <c r="R94" t="s">
        <v>143</v>
      </c>
      <c r="S94" t="s">
        <v>143</v>
      </c>
      <c r="T94">
        <v>3</v>
      </c>
      <c r="U94">
        <v>0</v>
      </c>
      <c r="V94">
        <f>100-Table2[[#This Row],[Exam Weight (%)]]</f>
        <v>100</v>
      </c>
      <c r="W9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5" spans="1:23">
      <c r="A95" s="3" t="s">
        <v>182</v>
      </c>
      <c r="B95" s="3" t="s">
        <v>185</v>
      </c>
      <c r="C95" s="3"/>
      <c r="D95" s="28" t="s">
        <v>178</v>
      </c>
      <c r="E95" s="3" t="s">
        <v>148</v>
      </c>
      <c r="F95" s="4">
        <v>7</v>
      </c>
      <c r="G95" s="2">
        <v>20</v>
      </c>
      <c r="H95" s="2"/>
      <c r="M95" t="s">
        <v>143</v>
      </c>
      <c r="N95" t="s">
        <v>143</v>
      </c>
      <c r="O95" t="s">
        <v>143</v>
      </c>
      <c r="P95" t="s">
        <v>143</v>
      </c>
      <c r="Q95" t="s">
        <v>143</v>
      </c>
      <c r="R95" t="s">
        <v>143</v>
      </c>
      <c r="S95" t="s">
        <v>143</v>
      </c>
      <c r="T95">
        <v>4</v>
      </c>
      <c r="U95">
        <v>0</v>
      </c>
      <c r="V95">
        <f>100-Table2[[#This Row],[Exam Weight (%)]]</f>
        <v>100</v>
      </c>
      <c r="W9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6" spans="1:23">
      <c r="A96" s="46" t="s">
        <v>319</v>
      </c>
      <c r="B96" s="46" t="s">
        <v>320</v>
      </c>
      <c r="C96" s="46"/>
      <c r="D96" s="28" t="s">
        <v>178</v>
      </c>
      <c r="E96" s="46" t="s">
        <v>147</v>
      </c>
      <c r="F96" s="47">
        <v>7</v>
      </c>
      <c r="G96" s="48">
        <v>10</v>
      </c>
      <c r="H96" s="28"/>
      <c r="I96" s="49"/>
      <c r="K96" s="49"/>
      <c r="L96" s="49"/>
      <c r="M96" t="s">
        <v>144</v>
      </c>
      <c r="N96" s="49"/>
      <c r="O96" s="49"/>
      <c r="P96" s="49"/>
      <c r="Q96" s="49"/>
      <c r="R96" t="s">
        <v>144</v>
      </c>
      <c r="S96" t="s">
        <v>144</v>
      </c>
      <c r="T96">
        <v>2</v>
      </c>
      <c r="U96">
        <v>70</v>
      </c>
      <c r="V96" s="50">
        <f>100-Table2[[#This Row],[Exam Weight (%)]]</f>
        <v>30</v>
      </c>
      <c r="W96" s="5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7" spans="1:23">
      <c r="A97" s="46" t="s">
        <v>383</v>
      </c>
      <c r="B97" s="46" t="s">
        <v>384</v>
      </c>
      <c r="C97" s="46"/>
      <c r="D97" s="28" t="s">
        <v>178</v>
      </c>
      <c r="E97" s="46" t="s">
        <v>148</v>
      </c>
      <c r="F97" s="47">
        <v>7</v>
      </c>
      <c r="G97" s="48">
        <v>10</v>
      </c>
      <c r="H97" s="28"/>
      <c r="I97" s="49"/>
      <c r="K97" s="49"/>
      <c r="L97" s="49"/>
      <c r="M97" t="s">
        <v>144</v>
      </c>
      <c r="N97" s="49"/>
      <c r="O97" s="49"/>
      <c r="P97" s="49"/>
      <c r="Q97" s="49"/>
      <c r="R97" t="s">
        <v>144</v>
      </c>
      <c r="S97" t="s">
        <v>144</v>
      </c>
      <c r="T97">
        <v>2</v>
      </c>
      <c r="U97">
        <v>100</v>
      </c>
      <c r="V97" s="50">
        <f>100-Table2[[#This Row],[Exam Weight (%)]]</f>
        <v>0</v>
      </c>
      <c r="W97" s="5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98" spans="1:23">
      <c r="A98" s="46" t="s">
        <v>324</v>
      </c>
      <c r="B98" s="46" t="s">
        <v>325</v>
      </c>
      <c r="C98" s="46"/>
      <c r="D98" s="28" t="s">
        <v>178</v>
      </c>
      <c r="E98" s="46" t="s">
        <v>148</v>
      </c>
      <c r="F98" s="47">
        <v>7</v>
      </c>
      <c r="G98" s="48">
        <v>10</v>
      </c>
      <c r="H98" s="28"/>
      <c r="I98" s="49"/>
      <c r="K98" s="49"/>
      <c r="L98" s="49"/>
      <c r="M98" t="s">
        <v>144</v>
      </c>
      <c r="N98" s="49"/>
      <c r="O98" s="49"/>
      <c r="P98" s="49"/>
      <c r="Q98" s="49"/>
      <c r="R98" t="s">
        <v>144</v>
      </c>
      <c r="S98" t="s">
        <v>144</v>
      </c>
      <c r="T98">
        <v>2</v>
      </c>
      <c r="U98">
        <v>0</v>
      </c>
      <c r="V98" s="50">
        <f>100-Table2[[#This Row],[Exam Weight (%)]]</f>
        <v>100</v>
      </c>
      <c r="W98" s="5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9" spans="1:23">
      <c r="A99" s="46" t="s">
        <v>330</v>
      </c>
      <c r="B99" s="46" t="s">
        <v>331</v>
      </c>
      <c r="C99" s="46"/>
      <c r="D99" s="28" t="s">
        <v>178</v>
      </c>
      <c r="E99" s="46" t="s">
        <v>148</v>
      </c>
      <c r="F99" s="47">
        <v>7</v>
      </c>
      <c r="G99" s="48">
        <v>20</v>
      </c>
      <c r="H99" s="28"/>
      <c r="I99" s="49"/>
      <c r="K99" s="49"/>
      <c r="L99" s="49"/>
      <c r="M99" t="s">
        <v>144</v>
      </c>
      <c r="N99" s="49"/>
      <c r="O99" s="49"/>
      <c r="P99" s="49" t="s">
        <v>143</v>
      </c>
      <c r="Q99" s="49" t="s">
        <v>143</v>
      </c>
      <c r="T99">
        <v>4</v>
      </c>
      <c r="U99">
        <v>0</v>
      </c>
      <c r="V99" s="50">
        <f>100-Table2[[#This Row],[Exam Weight (%)]]</f>
        <v>100</v>
      </c>
      <c r="W99" s="5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00" spans="1:23">
      <c r="A100" s="46" t="s">
        <v>334</v>
      </c>
      <c r="B100" s="46" t="s">
        <v>335</v>
      </c>
      <c r="C100" s="46"/>
      <c r="D100" s="28" t="s">
        <v>178</v>
      </c>
      <c r="E100" s="46" t="s">
        <v>147</v>
      </c>
      <c r="F100" s="47">
        <v>7</v>
      </c>
      <c r="G100" s="48">
        <v>20</v>
      </c>
      <c r="H100" s="28"/>
      <c r="I100" s="49"/>
      <c r="K100" s="49"/>
      <c r="L100" s="49"/>
      <c r="M100" t="s">
        <v>144</v>
      </c>
      <c r="N100" s="49"/>
      <c r="O100" s="49"/>
      <c r="P100" s="49" t="s">
        <v>143</v>
      </c>
      <c r="Q100" s="49" t="s">
        <v>143</v>
      </c>
      <c r="T100">
        <v>4</v>
      </c>
      <c r="U100">
        <v>50</v>
      </c>
      <c r="V100" s="50">
        <f>100-Table2[[#This Row],[Exam Weight (%)]]</f>
        <v>50</v>
      </c>
      <c r="W100" s="5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101" spans="1:23">
      <c r="A101"/>
      <c r="B101"/>
      <c r="C101"/>
      <c r="D101"/>
      <c r="E101"/>
      <c r="F101"/>
      <c r="G101"/>
      <c r="H101"/>
    </row>
    <row r="102" spans="1:23">
      <c r="A102"/>
      <c r="B102"/>
      <c r="C102"/>
      <c r="D102"/>
      <c r="E102"/>
      <c r="F102"/>
      <c r="G102"/>
      <c r="H102"/>
    </row>
    <row r="103" spans="1:23">
      <c r="A103"/>
      <c r="B103"/>
      <c r="C103"/>
      <c r="D103"/>
      <c r="E103"/>
      <c r="F103"/>
      <c r="G103"/>
      <c r="H103"/>
    </row>
    <row r="104" spans="1:23">
      <c r="A104"/>
      <c r="B104"/>
      <c r="C104"/>
      <c r="D104"/>
      <c r="E104"/>
      <c r="F104"/>
      <c r="G104"/>
      <c r="H104"/>
    </row>
    <row r="105" spans="1:23">
      <c r="A105"/>
      <c r="B105"/>
      <c r="C105"/>
      <c r="D105"/>
      <c r="E105"/>
      <c r="F105"/>
      <c r="G105"/>
      <c r="H105"/>
    </row>
    <row r="106" spans="1:23">
      <c r="A106"/>
      <c r="B106"/>
      <c r="C106"/>
      <c r="D106"/>
      <c r="E106"/>
      <c r="F106"/>
      <c r="G106"/>
      <c r="H106"/>
    </row>
    <row r="107" spans="1:23">
      <c r="A107"/>
      <c r="B107"/>
      <c r="C107"/>
      <c r="D107"/>
      <c r="E107"/>
      <c r="F107"/>
      <c r="G107"/>
      <c r="H107"/>
    </row>
    <row r="108" spans="1:23">
      <c r="A108"/>
      <c r="B108"/>
      <c r="C108"/>
      <c r="D108"/>
      <c r="E108"/>
      <c r="F108"/>
      <c r="G108"/>
      <c r="H108"/>
    </row>
    <row r="109" spans="1:23">
      <c r="A109"/>
      <c r="B109"/>
      <c r="C109"/>
      <c r="D109"/>
      <c r="E109"/>
      <c r="F109"/>
      <c r="G109"/>
      <c r="H109"/>
    </row>
    <row r="110" spans="1:23">
      <c r="A110"/>
      <c r="B110"/>
      <c r="C110"/>
      <c r="D110"/>
      <c r="E110"/>
      <c r="F110"/>
      <c r="G110"/>
      <c r="H110"/>
    </row>
    <row r="111" spans="1:23">
      <c r="A111"/>
      <c r="B111"/>
      <c r="C111"/>
      <c r="D111"/>
      <c r="E111"/>
      <c r="F111"/>
      <c r="G111"/>
      <c r="H111"/>
    </row>
    <row r="112" spans="1:23">
      <c r="A112"/>
      <c r="B112"/>
      <c r="C112"/>
      <c r="D112"/>
      <c r="E112"/>
      <c r="F112"/>
      <c r="G112"/>
      <c r="H112"/>
    </row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spans="1:8">
      <c r="A129" s="3"/>
      <c r="B129" s="3"/>
      <c r="C129" s="3"/>
      <c r="D129" s="3"/>
      <c r="E129" s="3"/>
      <c r="F129" s="3"/>
      <c r="G129" s="3"/>
      <c r="H129" s="3"/>
    </row>
  </sheetData>
  <phoneticPr fontId="1" type="noConversion"/>
  <conditionalFormatting sqref="E2:E100">
    <cfRule type="containsText" dxfId="12" priority="12" operator="containsText" text="SEMD">
      <formula>NOT(ISERROR(SEARCH("SEMD",E2)))</formula>
    </cfRule>
    <cfRule type="containsText" dxfId="11" priority="13" operator="containsText" text="SEM2">
      <formula>NOT(ISERROR(SEARCH("SEM2",E2)))</formula>
    </cfRule>
    <cfRule type="containsText" dxfId="10" priority="14" operator="containsText" text="SEM1">
      <formula>NOT(ISERROR(SEARCH("SEM1",E2)))</formula>
    </cfRule>
  </conditionalFormatting>
  <conditionalFormatting sqref="F2:F100">
    <cfRule type="colorScale" priority="161">
      <colorScale>
        <cfvo type="min"/>
        <cfvo type="max"/>
        <color rgb="FFFFEF9C"/>
        <color rgb="FF63BE7B"/>
      </colorScale>
    </cfRule>
  </conditionalFormatting>
  <conditionalFormatting sqref="G2:G100">
    <cfRule type="colorScale" priority="163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H2:T95 H96:S100">
    <cfRule type="containsText" dxfId="9" priority="16" operator="containsText" text="O">
      <formula>NOT(ISERROR(SEARCH("O",H2)))</formula>
    </cfRule>
    <cfRule type="containsText" dxfId="8" priority="17" operator="containsText" text="C">
      <formula>NOT(ISERROR(SEARCH("C",H2)))</formula>
    </cfRule>
  </conditionalFormatting>
  <conditionalFormatting sqref="W2:W100">
    <cfRule type="expression" dxfId="6" priority="9">
      <formula>W2&lt;&gt;V2</formula>
    </cfRule>
  </conditionalFormatting>
  <conditionalFormatting sqref="E96:E100">
    <cfRule type="containsText" dxfId="5" priority="4" operator="containsText" text="SEMD">
      <formula>NOT(ISERROR(SEARCH("SEMD",E96)))</formula>
    </cfRule>
    <cfRule type="containsText" dxfId="4" priority="5" operator="containsText" text="SEM2">
      <formula>NOT(ISERROR(SEARCH("SEM2",E96)))</formula>
    </cfRule>
    <cfRule type="containsText" dxfId="3" priority="6" operator="containsText" text="SEM1">
      <formula>NOT(ISERROR(SEARCH("SEM1",E96)))</formula>
    </cfRule>
  </conditionalFormatting>
  <conditionalFormatting sqref="F96:F100">
    <cfRule type="colorScale" priority="7">
      <colorScale>
        <cfvo type="min"/>
        <cfvo type="max"/>
        <color rgb="FFFFEF9C"/>
        <color rgb="FF63BE7B"/>
      </colorScale>
    </cfRule>
  </conditionalFormatting>
  <conditionalFormatting sqref="G96:G100">
    <cfRule type="colorScale" priority="8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T96:T100">
    <cfRule type="containsText" dxfId="1" priority="2" operator="containsText" text="O">
      <formula>NOT(ISERROR(SEARCH("O",T96)))</formula>
    </cfRule>
    <cfRule type="containsText" dxfId="0" priority="3" operator="containsText" text="C">
      <formula>NOT(ISERROR(SEARCH("C",T96)))</formula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AB48118A-1CFE-488B-B12E-453EA0CADD16}">
            <xm:f>NOT(ISERROR(SEARCH("-",I2)))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I2:T95 I96:S100</xm:sqref>
        </x14:conditionalFormatting>
        <x14:conditionalFormatting xmlns:xm="http://schemas.microsoft.com/office/excel/2006/main">
          <x14:cfRule type="containsText" priority="1" operator="containsText" id="{631B2A6D-16EC-488F-9A76-B8FF0576AF03}">
            <xm:f>NOT(ISERROR(SEARCH("-",T96)))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T96:T100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541C-C22C-46EF-BD21-4F8C93ABA5A9}">
  <dimension ref="A3:F70"/>
  <sheetViews>
    <sheetView workbookViewId="0">
      <selection activeCell="E20" sqref="E20"/>
    </sheetView>
  </sheetViews>
  <sheetFormatPr defaultRowHeight="14.5"/>
  <cols>
    <col min="1" max="1" width="12.36328125" bestFit="1" customWidth="1"/>
    <col min="2" max="2" width="9.08984375" bestFit="1" customWidth="1"/>
    <col min="3" max="4" width="19.6328125" customWidth="1"/>
  </cols>
  <sheetData>
    <row r="3" spans="1:6">
      <c r="A3" s="36" t="s">
        <v>0</v>
      </c>
      <c r="B3" s="36" t="s">
        <v>140</v>
      </c>
      <c r="C3" t="s">
        <v>226</v>
      </c>
      <c r="D3" t="s">
        <v>212</v>
      </c>
      <c r="E3" t="s">
        <v>223</v>
      </c>
      <c r="F3" t="s">
        <v>227</v>
      </c>
    </row>
    <row r="4" spans="1:6">
      <c r="A4" t="s">
        <v>55</v>
      </c>
      <c r="B4" s="38">
        <v>20</v>
      </c>
      <c r="C4">
        <f>SUMIF(Table1[Module Code],Sheet2!A4,Table1[Total Hours])</f>
        <v>18</v>
      </c>
      <c r="D4">
        <f>INDEX(Table14[Total],MATCH(Sheet2!A4,Table14[Module Code],0))</f>
        <v>44</v>
      </c>
      <c r="E4">
        <f>SUM(C4:D4)</f>
        <v>62</v>
      </c>
      <c r="F4">
        <f>E4/B4</f>
        <v>3.1</v>
      </c>
    </row>
    <row r="5" spans="1:6">
      <c r="A5" t="s">
        <v>56</v>
      </c>
      <c r="B5" s="38">
        <v>20</v>
      </c>
      <c r="C5">
        <f>SUMIF(Table1[Module Code],Sheet2!A5,Table1[Total Hours])</f>
        <v>0</v>
      </c>
      <c r="D5" t="e">
        <f>INDEX(Table14[Total],MATCH(Sheet2!A5,Table14[Module Code],0))</f>
        <v>#N/A</v>
      </c>
      <c r="E5" t="e">
        <f t="shared" ref="E5:E68" si="0">SUM(C5:D5)</f>
        <v>#N/A</v>
      </c>
      <c r="F5" t="e">
        <f t="shared" ref="F5:F68" si="1">E5/B5</f>
        <v>#N/A</v>
      </c>
    </row>
    <row r="6" spans="1:6">
      <c r="A6" t="s">
        <v>57</v>
      </c>
      <c r="B6" s="38">
        <v>10</v>
      </c>
      <c r="C6">
        <f>SUMIF(Table1[Module Code],Sheet2!A6,Table1[Total Hours])</f>
        <v>0</v>
      </c>
      <c r="D6" t="e">
        <f>INDEX(Table14[Total],MATCH(Sheet2!A6,Table14[Module Code],0))</f>
        <v>#N/A</v>
      </c>
      <c r="E6" t="e">
        <f t="shared" si="0"/>
        <v>#N/A</v>
      </c>
      <c r="F6" t="e">
        <f t="shared" si="1"/>
        <v>#N/A</v>
      </c>
    </row>
    <row r="7" spans="1:6">
      <c r="A7" t="s">
        <v>59</v>
      </c>
      <c r="B7" s="38">
        <v>20</v>
      </c>
      <c r="C7">
        <f>SUMIF(Table1[Module Code],Sheet2!A7,Table1[Total Hours])</f>
        <v>78.599999999999994</v>
      </c>
      <c r="D7">
        <f>INDEX(Table14[Total],MATCH(Sheet2!A7,Table14[Module Code],0))</f>
        <v>84</v>
      </c>
      <c r="E7">
        <f t="shared" si="0"/>
        <v>162.6</v>
      </c>
      <c r="F7">
        <f t="shared" si="1"/>
        <v>8.129999999999999</v>
      </c>
    </row>
    <row r="8" spans="1:6">
      <c r="A8" t="s">
        <v>81</v>
      </c>
      <c r="B8" s="38">
        <v>20</v>
      </c>
      <c r="C8">
        <f>SUMIF(Table1[Module Code],Sheet2!A8,Table1[Total Hours])</f>
        <v>20</v>
      </c>
      <c r="D8">
        <f>INDEX(Table14[Total],MATCH(Sheet2!A8,Table14[Module Code],0))</f>
        <v>44</v>
      </c>
      <c r="E8">
        <f t="shared" si="0"/>
        <v>64</v>
      </c>
      <c r="F8">
        <f t="shared" si="1"/>
        <v>3.2</v>
      </c>
    </row>
    <row r="9" spans="1:6">
      <c r="A9" t="s">
        <v>187</v>
      </c>
      <c r="B9" s="38">
        <v>10</v>
      </c>
      <c r="C9">
        <f>SUMIF(Table1[Module Code],Sheet2!A9,Table1[Total Hours])</f>
        <v>29.999999999999996</v>
      </c>
      <c r="D9">
        <f>INDEX(Table14[Total],MATCH(Sheet2!A9,Table14[Module Code],0))</f>
        <v>33</v>
      </c>
      <c r="E9">
        <f t="shared" si="0"/>
        <v>63</v>
      </c>
      <c r="F9">
        <f t="shared" si="1"/>
        <v>6.3</v>
      </c>
    </row>
    <row r="10" spans="1:6">
      <c r="A10" t="s">
        <v>83</v>
      </c>
      <c r="B10" s="38">
        <v>10</v>
      </c>
      <c r="C10">
        <f>SUMIF(Table1[Module Code],Sheet2!A10,Table1[Total Hours])</f>
        <v>10.5</v>
      </c>
      <c r="D10">
        <f>INDEX(Table14[Total],MATCH(Sheet2!A10,Table14[Module Code],0))</f>
        <v>22</v>
      </c>
      <c r="E10">
        <f t="shared" si="0"/>
        <v>32.5</v>
      </c>
      <c r="F10">
        <f t="shared" si="1"/>
        <v>3.25</v>
      </c>
    </row>
    <row r="11" spans="1:6">
      <c r="A11" t="s">
        <v>84</v>
      </c>
      <c r="B11" s="38">
        <v>10</v>
      </c>
      <c r="C11">
        <f>SUMIF(Table1[Module Code],Sheet2!A11,Table1[Total Hours])</f>
        <v>16</v>
      </c>
      <c r="D11">
        <f>INDEX(Table14[Total],MATCH(Sheet2!A11,Table14[Module Code],0))</f>
        <v>22</v>
      </c>
      <c r="E11">
        <f t="shared" si="0"/>
        <v>38</v>
      </c>
      <c r="F11">
        <f t="shared" si="1"/>
        <v>3.8</v>
      </c>
    </row>
    <row r="12" spans="1:6">
      <c r="A12" t="s">
        <v>82</v>
      </c>
      <c r="B12" s="38">
        <v>10</v>
      </c>
      <c r="C12">
        <f>SUMIF(Table1[Module Code],Sheet2!A12,Table1[Total Hours])</f>
        <v>8</v>
      </c>
      <c r="D12">
        <f>INDEX(Table14[Total],MATCH(Sheet2!A12,Table14[Module Code],0))</f>
        <v>22</v>
      </c>
      <c r="E12">
        <f t="shared" si="0"/>
        <v>30</v>
      </c>
      <c r="F12">
        <f t="shared" si="1"/>
        <v>3</v>
      </c>
    </row>
    <row r="13" spans="1:6">
      <c r="A13" t="s">
        <v>37</v>
      </c>
      <c r="B13" s="38">
        <v>20</v>
      </c>
      <c r="C13">
        <f>SUMIF(Table1[Module Code],Sheet2!A13,Table1[Total Hours])</f>
        <v>35</v>
      </c>
      <c r="D13">
        <f>INDEX(Table14[Total],MATCH(Sheet2!A13,Table14[Module Code],0))</f>
        <v>44</v>
      </c>
      <c r="E13">
        <f t="shared" si="0"/>
        <v>79</v>
      </c>
      <c r="F13">
        <f t="shared" si="1"/>
        <v>3.95</v>
      </c>
    </row>
    <row r="14" spans="1:6">
      <c r="A14" t="s">
        <v>46</v>
      </c>
      <c r="B14" s="38">
        <v>10</v>
      </c>
      <c r="C14">
        <f>SUMIF(Table1[Module Code],Sheet2!A14,Table1[Total Hours])</f>
        <v>0</v>
      </c>
      <c r="D14" t="e">
        <f>INDEX(Table14[Total],MATCH(Sheet2!A14,Table14[Module Code],0))</f>
        <v>#N/A</v>
      </c>
      <c r="E14" t="e">
        <f t="shared" si="0"/>
        <v>#N/A</v>
      </c>
      <c r="F14" t="e">
        <f t="shared" si="1"/>
        <v>#N/A</v>
      </c>
    </row>
    <row r="15" spans="1:6">
      <c r="A15" t="s">
        <v>49</v>
      </c>
      <c r="B15" s="38">
        <v>10</v>
      </c>
      <c r="C15">
        <f>SUMIF(Table1[Module Code],Sheet2!A15,Table1[Total Hours])</f>
        <v>36.4</v>
      </c>
      <c r="D15">
        <f>INDEX(Table14[Total],MATCH(Sheet2!A15,Table14[Module Code],0))</f>
        <v>44</v>
      </c>
      <c r="E15">
        <f t="shared" si="0"/>
        <v>80.400000000000006</v>
      </c>
      <c r="F15">
        <f t="shared" si="1"/>
        <v>8.0400000000000009</v>
      </c>
    </row>
    <row r="16" spans="1:6">
      <c r="A16" t="s">
        <v>39</v>
      </c>
      <c r="B16" s="38">
        <v>10</v>
      </c>
      <c r="C16">
        <f>SUMIF(Table1[Module Code],Sheet2!A16,Table1[Total Hours])</f>
        <v>0</v>
      </c>
      <c r="D16" t="e">
        <f>INDEX(Table14[Total],MATCH(Sheet2!A16,Table14[Module Code],0))</f>
        <v>#N/A</v>
      </c>
      <c r="E16" t="e">
        <f t="shared" si="0"/>
        <v>#N/A</v>
      </c>
      <c r="F16" t="e">
        <f t="shared" si="1"/>
        <v>#N/A</v>
      </c>
    </row>
    <row r="17" spans="1:6">
      <c r="A17" t="s">
        <v>40</v>
      </c>
      <c r="B17" s="38">
        <v>10</v>
      </c>
      <c r="C17">
        <f>SUMIF(Table1[Module Code],Sheet2!A17,Table1[Total Hours])</f>
        <v>12</v>
      </c>
      <c r="D17">
        <f>INDEX(Table14[Total],MATCH(Sheet2!A17,Table14[Module Code],0))</f>
        <v>22</v>
      </c>
      <c r="E17">
        <f t="shared" si="0"/>
        <v>34</v>
      </c>
      <c r="F17">
        <f t="shared" si="1"/>
        <v>3.4</v>
      </c>
    </row>
    <row r="18" spans="1:6">
      <c r="A18" t="s">
        <v>44</v>
      </c>
      <c r="B18" s="38">
        <v>10</v>
      </c>
      <c r="C18">
        <f>SUMIF(Table1[Module Code],Sheet2!A18,Table1[Total Hours])</f>
        <v>30</v>
      </c>
      <c r="D18">
        <f>INDEX(Table14[Total],MATCH(Sheet2!A18,Table14[Module Code],0))</f>
        <v>22</v>
      </c>
      <c r="E18">
        <f t="shared" si="0"/>
        <v>52</v>
      </c>
      <c r="F18">
        <f t="shared" si="1"/>
        <v>5.2</v>
      </c>
    </row>
    <row r="19" spans="1:6">
      <c r="A19" t="s">
        <v>45</v>
      </c>
      <c r="B19" s="38">
        <v>10</v>
      </c>
      <c r="C19">
        <f>SUMIF(Table1[Module Code],Sheet2!A19,Table1[Total Hours])</f>
        <v>26</v>
      </c>
      <c r="D19">
        <f>INDEX(Table14[Total],MATCH(Sheet2!A19,Table14[Module Code],0))</f>
        <v>22</v>
      </c>
      <c r="E19">
        <f t="shared" si="0"/>
        <v>48</v>
      </c>
      <c r="F19">
        <f t="shared" si="1"/>
        <v>4.8</v>
      </c>
    </row>
    <row r="20" spans="1:6">
      <c r="A20" t="s">
        <v>51</v>
      </c>
      <c r="B20" s="38">
        <v>20</v>
      </c>
      <c r="C20">
        <f>SUMIF(Table1[Module Code],Sheet2!A20,Table1[Total Hours])</f>
        <v>62</v>
      </c>
      <c r="D20">
        <f>INDEX(Table14[Total],MATCH(Sheet2!A20,Table14[Module Code],0))</f>
        <v>88</v>
      </c>
      <c r="E20">
        <f t="shared" si="0"/>
        <v>150</v>
      </c>
      <c r="F20">
        <f t="shared" si="1"/>
        <v>7.5</v>
      </c>
    </row>
    <row r="21" spans="1:6">
      <c r="A21" t="s">
        <v>53</v>
      </c>
      <c r="B21" s="38">
        <v>20</v>
      </c>
      <c r="C21">
        <f>SUMIF(Table1[Module Code],Sheet2!A21,Table1[Total Hours])</f>
        <v>76</v>
      </c>
      <c r="D21">
        <f>INDEX(Table14[Total],MATCH(Sheet2!A21,Table14[Module Code],0))</f>
        <v>66</v>
      </c>
      <c r="E21">
        <f t="shared" si="0"/>
        <v>142</v>
      </c>
      <c r="F21">
        <f t="shared" si="1"/>
        <v>7.1</v>
      </c>
    </row>
    <row r="22" spans="1:6">
      <c r="A22" t="s">
        <v>93</v>
      </c>
      <c r="B22" s="38">
        <v>20</v>
      </c>
      <c r="C22">
        <f>SUMIF(Table1[Module Code],Sheet2!A22,Table1[Total Hours])</f>
        <v>35</v>
      </c>
      <c r="D22">
        <f>INDEX(Table14[Total],MATCH(Sheet2!A22,Table14[Module Code],0))</f>
        <v>44</v>
      </c>
      <c r="E22">
        <f t="shared" si="0"/>
        <v>79</v>
      </c>
      <c r="F22">
        <f t="shared" si="1"/>
        <v>3.95</v>
      </c>
    </row>
    <row r="23" spans="1:6">
      <c r="A23" t="s">
        <v>94</v>
      </c>
      <c r="B23" s="38">
        <v>10</v>
      </c>
      <c r="C23">
        <f>SUMIF(Table1[Module Code],Sheet2!A23,Table1[Total Hours])</f>
        <v>6</v>
      </c>
      <c r="D23">
        <f>INDEX(Table14[Total],MATCH(Sheet2!A23,Table14[Module Code],0))</f>
        <v>22</v>
      </c>
      <c r="E23">
        <f t="shared" si="0"/>
        <v>28</v>
      </c>
      <c r="F23">
        <f t="shared" si="1"/>
        <v>2.8</v>
      </c>
    </row>
    <row r="24" spans="1:6">
      <c r="A24" t="s">
        <v>186</v>
      </c>
      <c r="B24" s="38">
        <v>10</v>
      </c>
      <c r="C24">
        <f>SUMIF(Table1[Module Code],Sheet2!A24,Table1[Total Hours])</f>
        <v>12</v>
      </c>
      <c r="D24">
        <f>INDEX(Table14[Total],MATCH(Sheet2!A24,Table14[Module Code],0))</f>
        <v>33</v>
      </c>
      <c r="E24">
        <f t="shared" si="0"/>
        <v>45</v>
      </c>
      <c r="F24">
        <f t="shared" si="1"/>
        <v>4.5</v>
      </c>
    </row>
    <row r="25" spans="1:6">
      <c r="A25" t="s">
        <v>89</v>
      </c>
      <c r="B25" s="38">
        <v>10</v>
      </c>
      <c r="C25">
        <f>SUMIF(Table1[Module Code],Sheet2!A25,Table1[Total Hours])</f>
        <v>8</v>
      </c>
      <c r="D25">
        <f>INDEX(Table14[Total],MATCH(Sheet2!A25,Table14[Module Code],0))</f>
        <v>22</v>
      </c>
      <c r="E25">
        <f t="shared" si="0"/>
        <v>30</v>
      </c>
      <c r="F25">
        <f t="shared" si="1"/>
        <v>3</v>
      </c>
    </row>
    <row r="26" spans="1:6">
      <c r="A26" t="s">
        <v>91</v>
      </c>
      <c r="B26" s="38">
        <v>10</v>
      </c>
      <c r="C26">
        <f>SUMIF(Table1[Module Code],Sheet2!A26,Table1[Total Hours])</f>
        <v>14.2</v>
      </c>
      <c r="D26">
        <f>INDEX(Table14[Total],MATCH(Sheet2!A26,Table14[Module Code],0))</f>
        <v>30</v>
      </c>
      <c r="E26">
        <f t="shared" si="0"/>
        <v>44.2</v>
      </c>
      <c r="F26">
        <f t="shared" si="1"/>
        <v>4.42</v>
      </c>
    </row>
    <row r="27" spans="1:6">
      <c r="A27" t="s">
        <v>95</v>
      </c>
      <c r="B27" s="38">
        <v>10</v>
      </c>
      <c r="C27">
        <f>SUMIF(Table1[Module Code],Sheet2!A27,Table1[Total Hours])</f>
        <v>14.2</v>
      </c>
      <c r="D27">
        <f>INDEX(Table14[Total],MATCH(Sheet2!A27,Table14[Module Code],0))</f>
        <v>30</v>
      </c>
      <c r="E27">
        <f t="shared" si="0"/>
        <v>44.2</v>
      </c>
      <c r="F27">
        <f t="shared" si="1"/>
        <v>4.42</v>
      </c>
    </row>
    <row r="28" spans="1:6">
      <c r="A28" t="s">
        <v>1</v>
      </c>
      <c r="B28" s="38">
        <v>20</v>
      </c>
      <c r="C28">
        <f>SUMIF(Table1[Module Code],Sheet2!A28,Table1[Total Hours])</f>
        <v>13</v>
      </c>
      <c r="D28">
        <f>INDEX(Table14[Total],MATCH(Sheet2!A28,Table14[Module Code],0))</f>
        <v>44</v>
      </c>
      <c r="E28">
        <f t="shared" si="0"/>
        <v>57</v>
      </c>
      <c r="F28">
        <f t="shared" si="1"/>
        <v>2.85</v>
      </c>
    </row>
    <row r="29" spans="1:6">
      <c r="A29" t="s">
        <v>7</v>
      </c>
      <c r="B29" s="38">
        <v>10</v>
      </c>
      <c r="C29">
        <f>SUMIF(Table1[Module Code],Sheet2!A29,Table1[Total Hours])</f>
        <v>0</v>
      </c>
      <c r="D29" t="e">
        <f>INDEX(Table14[Total],MATCH(Sheet2!A29,Table14[Module Code],0))</f>
        <v>#N/A</v>
      </c>
      <c r="E29" t="e">
        <f t="shared" si="0"/>
        <v>#N/A</v>
      </c>
      <c r="F29" t="e">
        <f t="shared" si="1"/>
        <v>#N/A</v>
      </c>
    </row>
    <row r="30" spans="1:6">
      <c r="A30" t="s">
        <v>8</v>
      </c>
      <c r="B30" s="38">
        <v>10</v>
      </c>
      <c r="C30">
        <f>SUMIF(Table1[Module Code],Sheet2!A30,Table1[Total Hours])</f>
        <v>45</v>
      </c>
      <c r="D30">
        <f>INDEX(Table14[Total],MATCH(Sheet2!A30,Table14[Module Code],0))</f>
        <v>22</v>
      </c>
      <c r="E30">
        <f t="shared" si="0"/>
        <v>67</v>
      </c>
      <c r="F30">
        <f t="shared" si="1"/>
        <v>6.7</v>
      </c>
    </row>
    <row r="31" spans="1:6">
      <c r="A31" t="s">
        <v>10</v>
      </c>
      <c r="B31" s="38">
        <v>10</v>
      </c>
      <c r="C31">
        <f>SUMIF(Table1[Module Code],Sheet2!A31,Table1[Total Hours])</f>
        <v>2.6666666666666665</v>
      </c>
      <c r="D31">
        <f>INDEX(Table14[Total],MATCH(Sheet2!A31,Table14[Module Code],0))</f>
        <v>22</v>
      </c>
      <c r="E31">
        <f t="shared" si="0"/>
        <v>24.666666666666668</v>
      </c>
      <c r="F31">
        <f t="shared" si="1"/>
        <v>2.4666666666666668</v>
      </c>
    </row>
    <row r="32" spans="1:6">
      <c r="A32" t="s">
        <v>12</v>
      </c>
      <c r="B32" s="38">
        <v>10</v>
      </c>
      <c r="C32">
        <f>SUMIF(Table1[Module Code],Sheet2!A32,Table1[Total Hours])</f>
        <v>0</v>
      </c>
      <c r="D32" t="e">
        <f>INDEX(Table14[Total],MATCH(Sheet2!A32,Table14[Module Code],0))</f>
        <v>#N/A</v>
      </c>
      <c r="E32" t="e">
        <f t="shared" si="0"/>
        <v>#N/A</v>
      </c>
      <c r="F32" t="e">
        <f t="shared" si="1"/>
        <v>#N/A</v>
      </c>
    </row>
    <row r="33" spans="1:6">
      <c r="A33" t="s">
        <v>14</v>
      </c>
      <c r="B33" s="38">
        <v>10</v>
      </c>
      <c r="C33">
        <f>SUMIF(Table1[Module Code],Sheet2!A33,Table1[Total Hours])</f>
        <v>42.5</v>
      </c>
      <c r="D33">
        <f>INDEX(Table14[Total],MATCH(Sheet2!A33,Table14[Module Code],0))</f>
        <v>22</v>
      </c>
      <c r="E33">
        <f t="shared" si="0"/>
        <v>64.5</v>
      </c>
      <c r="F33">
        <f t="shared" si="1"/>
        <v>6.45</v>
      </c>
    </row>
    <row r="34" spans="1:6">
      <c r="A34" t="s">
        <v>15</v>
      </c>
      <c r="B34" s="38">
        <v>10</v>
      </c>
      <c r="C34">
        <f>SUMIF(Table1[Module Code],Sheet2!A34,Table1[Total Hours])</f>
        <v>45</v>
      </c>
      <c r="D34">
        <f>INDEX(Table14[Total],MATCH(Sheet2!A34,Table14[Module Code],0))</f>
        <v>22</v>
      </c>
      <c r="E34">
        <f t="shared" si="0"/>
        <v>67</v>
      </c>
      <c r="F34">
        <f t="shared" si="1"/>
        <v>6.7</v>
      </c>
    </row>
    <row r="35" spans="1:6">
      <c r="A35" t="s">
        <v>16</v>
      </c>
      <c r="B35" s="38">
        <v>10</v>
      </c>
      <c r="C35">
        <f>SUMIF(Table1[Module Code],Sheet2!A35,Table1[Total Hours])</f>
        <v>5</v>
      </c>
      <c r="D35">
        <f>INDEX(Table14[Total],MATCH(Sheet2!A35,Table14[Module Code],0))</f>
        <v>22</v>
      </c>
      <c r="E35">
        <f t="shared" si="0"/>
        <v>27</v>
      </c>
      <c r="F35">
        <f t="shared" si="1"/>
        <v>2.7</v>
      </c>
    </row>
    <row r="36" spans="1:6">
      <c r="A36" t="s">
        <v>18</v>
      </c>
      <c r="B36" s="38">
        <v>10</v>
      </c>
      <c r="C36">
        <f>SUMIF(Table1[Module Code],Sheet2!A36,Table1[Total Hours])</f>
        <v>5</v>
      </c>
      <c r="D36">
        <f>INDEX(Table14[Total],MATCH(Sheet2!A36,Table14[Module Code],0))</f>
        <v>22</v>
      </c>
      <c r="E36">
        <f t="shared" si="0"/>
        <v>27</v>
      </c>
      <c r="F36">
        <f t="shared" si="1"/>
        <v>2.7</v>
      </c>
    </row>
    <row r="37" spans="1:6">
      <c r="A37" t="s">
        <v>24</v>
      </c>
      <c r="B37" s="38">
        <v>10</v>
      </c>
      <c r="C37">
        <f>SUMIF(Table1[Module Code],Sheet2!A37,Table1[Total Hours])</f>
        <v>40</v>
      </c>
      <c r="D37">
        <f>INDEX(Table14[Total],MATCH(Sheet2!A37,Table14[Module Code],0))</f>
        <v>33</v>
      </c>
      <c r="E37">
        <f t="shared" si="0"/>
        <v>73</v>
      </c>
      <c r="F37">
        <f t="shared" si="1"/>
        <v>7.3</v>
      </c>
    </row>
    <row r="38" spans="1:6">
      <c r="A38" t="s">
        <v>21</v>
      </c>
      <c r="B38" s="38">
        <v>10</v>
      </c>
      <c r="C38">
        <f>SUMIF(Table1[Module Code],Sheet2!A38,Table1[Total Hours])</f>
        <v>8</v>
      </c>
      <c r="D38">
        <f>INDEX(Table14[Total],MATCH(Sheet2!A38,Table14[Module Code],0))</f>
        <v>22</v>
      </c>
      <c r="E38">
        <f t="shared" si="0"/>
        <v>30</v>
      </c>
      <c r="F38">
        <f t="shared" si="1"/>
        <v>3</v>
      </c>
    </row>
    <row r="39" spans="1:6">
      <c r="A39" t="s">
        <v>106</v>
      </c>
      <c r="B39" s="38">
        <v>20</v>
      </c>
      <c r="C39">
        <f>SUMIF(Table1[Module Code],Sheet2!A39,Table1[Total Hours])</f>
        <v>23.900000000000002</v>
      </c>
      <c r="D39">
        <f>INDEX(Table14[Total],MATCH(Sheet2!A39,Table14[Module Code],0))</f>
        <v>44</v>
      </c>
      <c r="E39">
        <f t="shared" si="0"/>
        <v>67.900000000000006</v>
      </c>
      <c r="F39">
        <f t="shared" si="1"/>
        <v>3.3950000000000005</v>
      </c>
    </row>
    <row r="40" spans="1:6">
      <c r="A40" t="s">
        <v>188</v>
      </c>
      <c r="B40" s="38">
        <v>10</v>
      </c>
      <c r="C40">
        <f>SUMIF(Table1[Module Code],Sheet2!A40,Table1[Total Hours])</f>
        <v>8</v>
      </c>
      <c r="D40">
        <f>INDEX(Table14[Total],MATCH(Sheet2!A40,Table14[Module Code],0))</f>
        <v>22</v>
      </c>
      <c r="E40">
        <f t="shared" si="0"/>
        <v>30</v>
      </c>
      <c r="F40">
        <f t="shared" si="1"/>
        <v>3</v>
      </c>
    </row>
    <row r="41" spans="1:6">
      <c r="A41" t="s">
        <v>108</v>
      </c>
      <c r="B41" s="38">
        <v>10</v>
      </c>
      <c r="C41">
        <f>SUMIF(Table1[Module Code],Sheet2!A41,Table1[Total Hours])</f>
        <v>8</v>
      </c>
      <c r="D41" t="e">
        <f>INDEX(Table14[Total],MATCH(Sheet2!A41,Table14[Module Code],0))</f>
        <v>#N/A</v>
      </c>
      <c r="E41" t="e">
        <f t="shared" si="0"/>
        <v>#N/A</v>
      </c>
      <c r="F41" t="e">
        <f t="shared" si="1"/>
        <v>#N/A</v>
      </c>
    </row>
    <row r="42" spans="1:6">
      <c r="A42" t="s">
        <v>189</v>
      </c>
      <c r="B42" s="38">
        <v>10</v>
      </c>
      <c r="C42">
        <f>SUMIF(Table1[Module Code],Sheet2!A42,Table1[Total Hours])</f>
        <v>30</v>
      </c>
      <c r="D42">
        <f>INDEX(Table14[Total],MATCH(Sheet2!A42,Table14[Module Code],0))</f>
        <v>22</v>
      </c>
      <c r="E42">
        <f t="shared" si="0"/>
        <v>52</v>
      </c>
      <c r="F42">
        <f t="shared" si="1"/>
        <v>5.2</v>
      </c>
    </row>
    <row r="43" spans="1:6">
      <c r="A43" t="s">
        <v>107</v>
      </c>
      <c r="B43" s="38">
        <v>10</v>
      </c>
      <c r="C43">
        <f>SUMIF(Table1[Module Code],Sheet2!A43,Table1[Total Hours])</f>
        <v>0</v>
      </c>
      <c r="D43" t="e">
        <f>INDEX(Table14[Total],MATCH(Sheet2!A43,Table14[Module Code],0))</f>
        <v>#N/A</v>
      </c>
      <c r="E43" t="e">
        <f t="shared" si="0"/>
        <v>#N/A</v>
      </c>
      <c r="F43" t="e">
        <f t="shared" si="1"/>
        <v>#N/A</v>
      </c>
    </row>
    <row r="44" spans="1:6">
      <c r="A44" t="s">
        <v>109</v>
      </c>
      <c r="B44" s="38">
        <v>10</v>
      </c>
      <c r="C44">
        <f>SUMIF(Table1[Module Code],Sheet2!A44,Table1[Total Hours])</f>
        <v>55</v>
      </c>
      <c r="D44">
        <f>INDEX(Table14[Total],MATCH(Sheet2!A44,Table14[Module Code],0))</f>
        <v>22</v>
      </c>
      <c r="E44">
        <f t="shared" si="0"/>
        <v>77</v>
      </c>
      <c r="F44">
        <f t="shared" si="1"/>
        <v>7.7</v>
      </c>
    </row>
    <row r="45" spans="1:6">
      <c r="A45" t="s">
        <v>100</v>
      </c>
      <c r="B45" s="38">
        <v>10</v>
      </c>
      <c r="C45">
        <f>SUMIF(Table1[Module Code],Sheet2!A45,Table1[Total Hours])</f>
        <v>8</v>
      </c>
      <c r="D45">
        <f>INDEX(Table14[Total],MATCH(Sheet2!A45,Table14[Module Code],0))</f>
        <v>22</v>
      </c>
      <c r="E45">
        <f t="shared" si="0"/>
        <v>30</v>
      </c>
      <c r="F45">
        <f t="shared" si="1"/>
        <v>3</v>
      </c>
    </row>
    <row r="46" spans="1:6">
      <c r="A46" t="s">
        <v>102</v>
      </c>
      <c r="B46" s="38">
        <v>10</v>
      </c>
      <c r="C46">
        <f>SUMIF(Table1[Module Code],Sheet2!A46,Table1[Total Hours])</f>
        <v>8</v>
      </c>
      <c r="D46">
        <f>INDEX(Table14[Total],MATCH(Sheet2!A46,Table14[Module Code],0))</f>
        <v>22</v>
      </c>
      <c r="E46">
        <f t="shared" si="0"/>
        <v>30</v>
      </c>
      <c r="F46">
        <f t="shared" si="1"/>
        <v>3</v>
      </c>
    </row>
    <row r="47" spans="1:6">
      <c r="A47" t="s">
        <v>104</v>
      </c>
      <c r="B47" s="38">
        <v>10</v>
      </c>
      <c r="C47">
        <f>SUMIF(Table1[Module Code],Sheet2!A47,Table1[Total Hours])</f>
        <v>15</v>
      </c>
      <c r="D47">
        <f>INDEX(Table14[Total],MATCH(Sheet2!A47,Table14[Module Code],0))</f>
        <v>22</v>
      </c>
      <c r="E47">
        <f t="shared" si="0"/>
        <v>37</v>
      </c>
      <c r="F47">
        <f t="shared" si="1"/>
        <v>3.7</v>
      </c>
    </row>
    <row r="48" spans="1:6">
      <c r="A48" t="s">
        <v>47</v>
      </c>
      <c r="B48" s="38">
        <v>30</v>
      </c>
      <c r="C48">
        <f>SUMIF(Table1[Module Code],Sheet2!A48,Table1[Total Hours])</f>
        <v>275.39999999999998</v>
      </c>
      <c r="D48">
        <f>INDEX(Table14[Total],MATCH(Sheet2!A48,Table14[Module Code],0))</f>
        <v>14</v>
      </c>
      <c r="E48">
        <f t="shared" si="0"/>
        <v>289.39999999999998</v>
      </c>
      <c r="F48">
        <f t="shared" si="1"/>
        <v>9.6466666666666665</v>
      </c>
    </row>
    <row r="49" spans="1:6">
      <c r="A49" t="s">
        <v>60</v>
      </c>
      <c r="B49" s="38">
        <v>10</v>
      </c>
      <c r="C49">
        <f>SUMIF(Table1[Module Code],Sheet2!A49,Table1[Total Hours])</f>
        <v>0</v>
      </c>
      <c r="D49" t="e">
        <f>INDEX(Table14[Total],MATCH(Sheet2!A49,Table14[Module Code],0))</f>
        <v>#N/A</v>
      </c>
      <c r="E49" t="e">
        <f t="shared" si="0"/>
        <v>#N/A</v>
      </c>
      <c r="F49" t="e">
        <f t="shared" si="1"/>
        <v>#N/A</v>
      </c>
    </row>
    <row r="50" spans="1:6">
      <c r="A50" t="s">
        <v>61</v>
      </c>
      <c r="B50" s="38">
        <v>10</v>
      </c>
      <c r="C50">
        <f>SUMIF(Table1[Module Code],Sheet2!A50,Table1[Total Hours])</f>
        <v>5</v>
      </c>
      <c r="D50">
        <f>INDEX(Table14[Total],MATCH(Sheet2!A50,Table14[Module Code],0))</f>
        <v>22</v>
      </c>
      <c r="E50">
        <f t="shared" si="0"/>
        <v>27</v>
      </c>
      <c r="F50">
        <f t="shared" si="1"/>
        <v>2.7</v>
      </c>
    </row>
    <row r="51" spans="1:6">
      <c r="A51" t="s">
        <v>73</v>
      </c>
      <c r="B51" s="38">
        <v>10</v>
      </c>
      <c r="C51">
        <f>SUMIF(Table1[Module Code],Sheet2!A51,Table1[Total Hours])</f>
        <v>0</v>
      </c>
      <c r="D51" t="e">
        <f>INDEX(Table14[Total],MATCH(Sheet2!A51,Table14[Module Code],0))</f>
        <v>#N/A</v>
      </c>
      <c r="E51" t="e">
        <f t="shared" si="0"/>
        <v>#N/A</v>
      </c>
      <c r="F51" t="e">
        <f t="shared" si="1"/>
        <v>#N/A</v>
      </c>
    </row>
    <row r="52" spans="1:6">
      <c r="A52" t="s">
        <v>63</v>
      </c>
      <c r="B52" s="38">
        <v>10</v>
      </c>
      <c r="C52">
        <f>SUMIF(Table1[Module Code],Sheet2!A52,Table1[Total Hours])</f>
        <v>15</v>
      </c>
      <c r="D52">
        <f>INDEX(Table14[Total],MATCH(Sheet2!A52,Table14[Module Code],0))</f>
        <v>22</v>
      </c>
      <c r="E52">
        <f t="shared" si="0"/>
        <v>37</v>
      </c>
      <c r="F52">
        <f t="shared" si="1"/>
        <v>3.7</v>
      </c>
    </row>
    <row r="53" spans="1:6">
      <c r="A53" t="s">
        <v>65</v>
      </c>
      <c r="B53" s="38">
        <v>10</v>
      </c>
      <c r="C53">
        <f>SUMIF(Table1[Module Code],Sheet2!A53,Table1[Total Hours])</f>
        <v>0</v>
      </c>
      <c r="D53" t="e">
        <f>INDEX(Table14[Total],MATCH(Sheet2!A53,Table14[Module Code],0))</f>
        <v>#N/A</v>
      </c>
      <c r="E53" t="e">
        <f t="shared" si="0"/>
        <v>#N/A</v>
      </c>
      <c r="F53" t="e">
        <f t="shared" si="1"/>
        <v>#N/A</v>
      </c>
    </row>
    <row r="54" spans="1:6">
      <c r="A54" t="s">
        <v>66</v>
      </c>
      <c r="B54" s="38">
        <v>10</v>
      </c>
      <c r="C54">
        <f>SUMIF(Table1[Module Code],Sheet2!A54,Table1[Total Hours])</f>
        <v>24.8</v>
      </c>
      <c r="D54">
        <f>INDEX(Table14[Total],MATCH(Sheet2!A54,Table14[Module Code],0))</f>
        <v>33</v>
      </c>
      <c r="E54">
        <f t="shared" si="0"/>
        <v>57.8</v>
      </c>
      <c r="F54">
        <f t="shared" si="1"/>
        <v>5.7799999999999994</v>
      </c>
    </row>
    <row r="55" spans="1:6">
      <c r="A55" t="s">
        <v>69</v>
      </c>
      <c r="B55" s="38">
        <v>10</v>
      </c>
      <c r="C55">
        <f>SUMIF(Table1[Module Code],Sheet2!A55,Table1[Total Hours])</f>
        <v>29</v>
      </c>
      <c r="D55">
        <f>INDEX(Table14[Total],MATCH(Sheet2!A55,Table14[Module Code],0))</f>
        <v>22</v>
      </c>
      <c r="E55">
        <f t="shared" si="0"/>
        <v>51</v>
      </c>
      <c r="F55">
        <f t="shared" si="1"/>
        <v>5.0999999999999996</v>
      </c>
    </row>
    <row r="56" spans="1:6">
      <c r="A56" t="s">
        <v>71</v>
      </c>
      <c r="B56" s="38">
        <v>10</v>
      </c>
      <c r="C56">
        <f>SUMIF(Table1[Module Code],Sheet2!A56,Table1[Total Hours])</f>
        <v>21</v>
      </c>
      <c r="D56">
        <f>INDEX(Table14[Total],MATCH(Sheet2!A56,Table14[Module Code],0))</f>
        <v>22</v>
      </c>
      <c r="E56">
        <f t="shared" si="0"/>
        <v>43</v>
      </c>
      <c r="F56">
        <f t="shared" si="1"/>
        <v>4.3</v>
      </c>
    </row>
    <row r="57" spans="1:6">
      <c r="A57" t="s">
        <v>190</v>
      </c>
      <c r="B57" s="38">
        <v>10</v>
      </c>
      <c r="C57">
        <f>SUMIF(Table1[Module Code],Sheet2!A57,Table1[Total Hours])</f>
        <v>8</v>
      </c>
      <c r="D57">
        <f>INDEX(Table14[Total],MATCH(Sheet2!A57,Table14[Module Code],0))</f>
        <v>22</v>
      </c>
      <c r="E57">
        <f t="shared" si="0"/>
        <v>30</v>
      </c>
      <c r="F57">
        <f t="shared" si="1"/>
        <v>3</v>
      </c>
    </row>
    <row r="58" spans="1:6">
      <c r="A58" t="s">
        <v>191</v>
      </c>
      <c r="B58" s="38">
        <v>10</v>
      </c>
      <c r="C58">
        <f>SUMIF(Table1[Module Code],Sheet2!A58,Table1[Total Hours])</f>
        <v>12</v>
      </c>
      <c r="D58">
        <f>INDEX(Table14[Total],MATCH(Sheet2!A58,Table14[Module Code],0))</f>
        <v>22</v>
      </c>
      <c r="E58">
        <f t="shared" si="0"/>
        <v>34</v>
      </c>
      <c r="F58">
        <f t="shared" si="1"/>
        <v>3.4</v>
      </c>
    </row>
    <row r="59" spans="1:6">
      <c r="A59" t="s">
        <v>192</v>
      </c>
      <c r="B59" s="38">
        <v>10</v>
      </c>
      <c r="C59">
        <f>SUMIF(Table1[Module Code],Sheet2!A59,Table1[Total Hours])</f>
        <v>24</v>
      </c>
      <c r="D59">
        <f>INDEX(Table14[Total],MATCH(Sheet2!A59,Table14[Module Code],0))</f>
        <v>22</v>
      </c>
      <c r="E59">
        <f t="shared" si="0"/>
        <v>46</v>
      </c>
      <c r="F59">
        <f t="shared" si="1"/>
        <v>4.5999999999999996</v>
      </c>
    </row>
    <row r="60" spans="1:6">
      <c r="A60" t="s">
        <v>193</v>
      </c>
      <c r="B60" s="38">
        <v>10</v>
      </c>
      <c r="C60">
        <f>SUMIF(Table1[Module Code],Sheet2!A60,Table1[Total Hours])</f>
        <v>5</v>
      </c>
      <c r="D60">
        <f>INDEX(Table14[Total],MATCH(Sheet2!A60,Table14[Module Code],0))</f>
        <v>22</v>
      </c>
      <c r="E60">
        <f t="shared" si="0"/>
        <v>27</v>
      </c>
      <c r="F60">
        <f t="shared" si="1"/>
        <v>2.7</v>
      </c>
    </row>
    <row r="61" spans="1:6">
      <c r="A61" t="s">
        <v>114</v>
      </c>
      <c r="B61" s="38">
        <v>10</v>
      </c>
      <c r="C61">
        <f>SUMIF(Table1[Module Code],Sheet2!A61,Table1[Total Hours])</f>
        <v>38.5</v>
      </c>
      <c r="D61">
        <f>INDEX(Table14[Total],MATCH(Sheet2!A61,Table14[Module Code],0))</f>
        <v>33</v>
      </c>
      <c r="E61">
        <f t="shared" si="0"/>
        <v>71.5</v>
      </c>
      <c r="F61">
        <f t="shared" si="1"/>
        <v>7.15</v>
      </c>
    </row>
    <row r="62" spans="1:6">
      <c r="A62" t="s">
        <v>116</v>
      </c>
      <c r="B62" s="38">
        <v>10</v>
      </c>
      <c r="C62">
        <f>SUMIF(Table1[Module Code],Sheet2!A62,Table1[Total Hours])</f>
        <v>12</v>
      </c>
      <c r="D62">
        <f>INDEX(Table14[Total],MATCH(Sheet2!A62,Table14[Module Code],0))</f>
        <v>22</v>
      </c>
      <c r="E62">
        <f t="shared" si="0"/>
        <v>34</v>
      </c>
      <c r="F62">
        <f t="shared" si="1"/>
        <v>3.4</v>
      </c>
    </row>
    <row r="63" spans="1:6">
      <c r="A63" t="s">
        <v>68</v>
      </c>
      <c r="B63" s="38">
        <v>10</v>
      </c>
      <c r="C63">
        <f>SUMIF(Table1[Module Code],Sheet2!A63,Table1[Total Hours])</f>
        <v>25</v>
      </c>
      <c r="D63">
        <f>INDEX(Table14[Total],MATCH(Sheet2!A63,Table14[Module Code],0))</f>
        <v>22</v>
      </c>
      <c r="E63">
        <f t="shared" si="0"/>
        <v>47</v>
      </c>
      <c r="F63">
        <f t="shared" si="1"/>
        <v>4.7</v>
      </c>
    </row>
    <row r="64" spans="1:6">
      <c r="A64" t="s">
        <v>194</v>
      </c>
      <c r="B64" s="38">
        <v>10</v>
      </c>
      <c r="C64">
        <f>SUMIF(Table1[Module Code],Sheet2!A64,Table1[Total Hours])</f>
        <v>8</v>
      </c>
      <c r="D64">
        <f>INDEX(Table14[Total],MATCH(Sheet2!A64,Table14[Module Code],0))</f>
        <v>28</v>
      </c>
      <c r="E64">
        <f t="shared" si="0"/>
        <v>36</v>
      </c>
      <c r="F64">
        <f t="shared" si="1"/>
        <v>3.6</v>
      </c>
    </row>
    <row r="65" spans="1:6">
      <c r="A65" t="s">
        <v>195</v>
      </c>
      <c r="B65" s="38">
        <v>10</v>
      </c>
      <c r="C65">
        <f>SUMIF(Table1[Module Code],Sheet2!A65,Table1[Total Hours])</f>
        <v>40</v>
      </c>
      <c r="D65">
        <f>INDEX(Table14[Total],MATCH(Sheet2!A65,Table14[Module Code],0))</f>
        <v>22</v>
      </c>
      <c r="E65">
        <f t="shared" si="0"/>
        <v>62</v>
      </c>
      <c r="F65">
        <f t="shared" si="1"/>
        <v>6.2</v>
      </c>
    </row>
    <row r="66" spans="1:6">
      <c r="A66" t="s">
        <v>120</v>
      </c>
      <c r="B66" s="38">
        <v>10</v>
      </c>
      <c r="C66">
        <f>SUMIF(Table1[Module Code],Sheet2!A66,Table1[Total Hours])</f>
        <v>0</v>
      </c>
      <c r="D66" t="e">
        <f>INDEX(Table14[Total],MATCH(Sheet2!A66,Table14[Module Code],0))</f>
        <v>#N/A</v>
      </c>
      <c r="E66" t="e">
        <f t="shared" si="0"/>
        <v>#N/A</v>
      </c>
      <c r="F66" t="e">
        <f t="shared" si="1"/>
        <v>#N/A</v>
      </c>
    </row>
    <row r="67" spans="1:6">
      <c r="A67" t="s">
        <v>74</v>
      </c>
      <c r="B67" s="38">
        <v>60</v>
      </c>
      <c r="C67">
        <f>SUMIF(Table1[Module Code],Sheet2!A67,Table1[Total Hours])</f>
        <v>501.40000000000003</v>
      </c>
      <c r="D67">
        <f>INDEX(Table14[Total],MATCH(Sheet2!A67,Table14[Module Code],0))</f>
        <v>29.5</v>
      </c>
      <c r="E67">
        <f t="shared" si="0"/>
        <v>530.90000000000009</v>
      </c>
      <c r="F67">
        <f t="shared" si="1"/>
        <v>8.8483333333333345</v>
      </c>
    </row>
    <row r="68" spans="1:6">
      <c r="A68" t="s">
        <v>181</v>
      </c>
      <c r="B68" s="38">
        <v>20</v>
      </c>
      <c r="C68">
        <f>SUMIF(Table1[Module Code],Sheet2!A68,Table1[Total Hours])</f>
        <v>37.5</v>
      </c>
      <c r="D68">
        <f>INDEX(Table14[Total],MATCH(Sheet2!A68,Table14[Module Code],0))</f>
        <v>33</v>
      </c>
      <c r="E68">
        <f t="shared" si="0"/>
        <v>70.5</v>
      </c>
      <c r="F68">
        <f t="shared" si="1"/>
        <v>3.5249999999999999</v>
      </c>
    </row>
    <row r="69" spans="1:6">
      <c r="A69" t="s">
        <v>182</v>
      </c>
      <c r="B69" s="38">
        <v>20</v>
      </c>
      <c r="C69">
        <f>SUMIF(Table1[Module Code],Sheet2!A69,Table1[Total Hours])</f>
        <v>64.5</v>
      </c>
      <c r="D69">
        <f>INDEX(Table14[Total],MATCH(Sheet2!A69,Table14[Module Code],0))</f>
        <v>44</v>
      </c>
      <c r="E69">
        <f t="shared" ref="E69" si="2">SUM(C69:D69)</f>
        <v>108.5</v>
      </c>
      <c r="F69">
        <f t="shared" ref="F69:F70" si="3">E69/B69</f>
        <v>5.4249999999999998</v>
      </c>
    </row>
    <row r="70" spans="1:6">
      <c r="A70" t="s">
        <v>222</v>
      </c>
      <c r="C70">
        <f>SUMIF(Table1[Module Code],Sheet2!A70,Table1[Total Hours])</f>
        <v>0</v>
      </c>
      <c r="F70" t="e">
        <f t="shared" si="3"/>
        <v>#DIV/0!</v>
      </c>
    </row>
  </sheetData>
  <conditionalFormatting sqref="F4:F7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db74b30-9568-4856-bdbf-06759778fcbc}" enabled="0" method="" siteId="{bdb74b30-9568-4856-bdbf-06759778fcb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Assessments</vt:lpstr>
      <vt:lpstr>ContactTime</vt:lpstr>
      <vt:lpstr>Modules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North</dc:creator>
  <cp:lastModifiedBy>Christopher North</cp:lastModifiedBy>
  <dcterms:created xsi:type="dcterms:W3CDTF">2025-04-01T11:51:08Z</dcterms:created>
  <dcterms:modified xsi:type="dcterms:W3CDTF">2026-03-27T15:34:37Z</dcterms:modified>
</cp:coreProperties>
</file>