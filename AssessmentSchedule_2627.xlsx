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17" documentId="8_{F30C7968-F540-46E6-A81C-665FBDA0D3DA}" xr6:coauthVersionLast="47" xr6:coauthVersionMax="47" xr10:uidLastSave="{F2302D11-700C-4396-8088-4D903DED3669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5" i="1" l="1"/>
  <c r="E75" i="1"/>
  <c r="J75" i="1" s="1"/>
  <c r="AL75" i="1" s="1"/>
  <c r="D75" i="1"/>
  <c r="AK84" i="1"/>
  <c r="E84" i="1"/>
  <c r="J84" i="1" s="1"/>
  <c r="AL84" i="1" s="1"/>
  <c r="D84" i="1"/>
  <c r="E146" i="1"/>
  <c r="J146" i="1" s="1"/>
  <c r="AL146" i="1" s="1"/>
  <c r="D146" i="1"/>
  <c r="AK146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J78" i="1" l="1"/>
  <c r="AL78" i="1" s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J123" i="1" s="1"/>
  <c r="E124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J161" i="1" s="1"/>
  <c r="E160" i="1"/>
  <c r="J160" i="1" s="1"/>
  <c r="E159" i="1"/>
  <c r="J159" i="1" s="1"/>
  <c r="E158" i="1"/>
  <c r="J158" i="1" s="1"/>
  <c r="E157" i="1"/>
  <c r="E156" i="1"/>
  <c r="J156" i="1" s="1"/>
  <c r="E155" i="1"/>
  <c r="E154" i="1"/>
  <c r="J154" i="1" s="1"/>
  <c r="E153" i="1"/>
  <c r="J153" i="1" s="1"/>
  <c r="E152" i="1"/>
  <c r="J152" i="1" s="1"/>
  <c r="E151" i="1"/>
  <c r="J151" i="1" s="1"/>
  <c r="E150" i="1"/>
  <c r="E149" i="1"/>
  <c r="J149" i="1" s="1"/>
  <c r="E148" i="1"/>
  <c r="J148" i="1" s="1"/>
  <c r="E147" i="1"/>
  <c r="J147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31" i="1"/>
  <c r="J131" i="1" s="1"/>
  <c r="E121" i="1"/>
  <c r="J121" i="1" s="1"/>
  <c r="E120" i="1"/>
  <c r="J120" i="1" s="1"/>
  <c r="E119" i="1"/>
  <c r="J119" i="1" s="1"/>
  <c r="E118" i="1"/>
  <c r="J118" i="1" s="1"/>
  <c r="E117" i="1"/>
  <c r="J117" i="1" s="1"/>
  <c r="E116" i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E6" i="1"/>
  <c r="E4" i="1"/>
  <c r="J4" i="1" s="1"/>
  <c r="E3" i="1"/>
  <c r="J3" i="1" s="1"/>
  <c r="E2" i="1"/>
  <c r="J2" i="1" s="1"/>
  <c r="W94" i="2"/>
  <c r="L150" i="1"/>
  <c r="AL154" i="1"/>
  <c r="AL156" i="1"/>
  <c r="J179" i="1" l="1"/>
  <c r="AL179" i="1" s="1"/>
  <c r="AL172" i="1"/>
  <c r="J172" i="1"/>
  <c r="J167" i="1"/>
  <c r="AL167" i="1" s="1"/>
  <c r="J173" i="1"/>
  <c r="AL173" i="1" s="1"/>
  <c r="AL181" i="1"/>
  <c r="J181" i="1"/>
  <c r="J100" i="1"/>
  <c r="AL100" i="1" s="1"/>
  <c r="J171" i="1"/>
  <c r="AL171" i="1" s="1"/>
  <c r="J166" i="1"/>
  <c r="AL166" i="1" s="1"/>
  <c r="AL180" i="1"/>
  <c r="J180" i="1"/>
  <c r="J95" i="1"/>
  <c r="AL95" i="1" s="1"/>
  <c r="J162" i="1"/>
  <c r="AL162" i="1" s="1"/>
  <c r="AL168" i="1"/>
  <c r="J168" i="1"/>
  <c r="J174" i="1"/>
  <c r="AL174" i="1" s="1"/>
  <c r="AL182" i="1"/>
  <c r="J182" i="1"/>
  <c r="J101" i="1"/>
  <c r="AL101" i="1" s="1"/>
  <c r="J164" i="1"/>
  <c r="AL164" i="1" s="1"/>
  <c r="AL169" i="1"/>
  <c r="J169" i="1"/>
  <c r="J176" i="1"/>
  <c r="AL176" i="1" s="1"/>
  <c r="AK110" i="1"/>
  <c r="J110" i="1"/>
  <c r="AL115" i="1"/>
  <c r="J115" i="1"/>
  <c r="AL155" i="1"/>
  <c r="J155" i="1"/>
  <c r="J163" i="1"/>
  <c r="AL163" i="1" s="1"/>
  <c r="J175" i="1"/>
  <c r="AL175" i="1" s="1"/>
  <c r="AL114" i="1"/>
  <c r="J114" i="1"/>
  <c r="AL124" i="1"/>
  <c r="J124" i="1"/>
  <c r="AK150" i="1"/>
  <c r="J150" i="1"/>
  <c r="AL157" i="1"/>
  <c r="J157" i="1"/>
  <c r="J177" i="1"/>
  <c r="AL177" i="1" s="1"/>
  <c r="J122" i="1"/>
  <c r="AL122" i="1" s="1"/>
  <c r="J165" i="1"/>
  <c r="AL165" i="1" s="1"/>
  <c r="AL170" i="1"/>
  <c r="J170" i="1"/>
  <c r="J178" i="1"/>
  <c r="AL178" i="1" s="1"/>
  <c r="J72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J116" i="1" l="1"/>
  <c r="AK116" i="1"/>
  <c r="AL117" i="1"/>
  <c r="AL21" i="1" l="1"/>
  <c r="AL2" i="1"/>
  <c r="AL161" i="1"/>
  <c r="J6" i="1" l="1"/>
  <c r="AK7" i="1"/>
  <c r="J7" i="1"/>
  <c r="AK6" i="1"/>
  <c r="D62" i="3"/>
  <c r="E62" i="3"/>
  <c r="F62" i="3"/>
  <c r="AE62" i="3"/>
  <c r="AL160" i="1"/>
  <c r="AL159" i="1"/>
  <c r="AL158" i="1"/>
  <c r="W11" i="2"/>
  <c r="W91" i="2"/>
  <c r="W93" i="2"/>
  <c r="AL140" i="1"/>
  <c r="V93" i="2"/>
  <c r="D161" i="1" s="1"/>
  <c r="V92" i="2"/>
  <c r="V91" i="2"/>
  <c r="T90" i="2"/>
  <c r="V90" i="2"/>
  <c r="V61" i="2"/>
  <c r="J139" i="1" l="1"/>
  <c r="AK139" i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<sst xmlns="http://schemas.openxmlformats.org/spreadsheetml/2006/main" count="2907" uniqueCount="390">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</sst>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AVERAGE(Table1[[#This Row],[Autumn Week 1]:[Spring Exams]])*4*Table1[[#This Row],[Credits]]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tabSelected="1" zoomScale="11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8" sqref="H18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AVERAGE(Table1[[#This Row],[Autumn Week 1]:[Spring Exams]])*4*Table1[[#This Row],[Credits]]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3</v>
      </c>
      <c r="J8" s="11">
        <f>AVERAGE(Table1[[#This Row],[Autumn Week 1]:[Spring Exams]])*4*Table1[[#This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AVERAGE(Table1[[#This Row],[Autumn Week 1]:[Spring Exams]])*4*Table1[[#This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AVERAGE(Table1[[#This Row],[Autumn Week 1]:[Spring Exams]])*4*Table1[[#This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AVERAGE(Table1[[#This Row],[Autumn Week 1]:[Spring Exams]])*4*Table1[[#This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AVERAGE(Table1[[#This Row],[Autumn Week 1]:[Spring Exams]])*4*Table1[[#This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AVERAGE(Table1[[#This Row],[Autumn Week 1]:[Spring Exams]])*4*Table1[[#This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AVERAGE(Table1[[#This Row],[Autumn Week 1]:[Spring Exams]])*4*Table1[[#This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AVERAGE(Table1[[#This Row],[Autumn Week 1]:[Spring Exams]])*4*Table1[[#This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AVERAGE(Table1[[#This Row],[Autumn Week 1]:[Spring Exams]])*4*Table1[[#This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AVERAGE(Table1[[#This Row],[Autumn Week 1]:[Spring Exams]])*4*Table1[[#This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AVERAGE(Table1[[#This Row],[Autumn Week 1]:[Spring Exams]])*4*Table1[[#This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AVERAGE(Table1[[#This Row],[Autumn Week 1]:[Spring Exams]])*4*Table1[[#This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AVERAGE(Table1[[#This Row],[Autumn Week 1]:[Spring Exams]])*4*Table1[[#This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AVERAGE(Table1[[#This Row],[Autumn Week 1]:[Spring Exams]])*4*Table1[[#This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AVERAGE(Table1[[#This Row],[Autumn Week 1]:[Spring Exams]])*4*Table1[[#This Row],[Credits]]</f>
        <v>-0.79999999999999982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AVERAGE(Table1[[#This Row],[Autumn Week 1]:[Spring Exams]])*4*Table1[[#This Row],[Credits]]</f>
        <v>-12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AVERAGE(Table1[[#This Row],[Autumn Week 1]:[Spring Exams]])*4*Table1[[#This Row],[Credits]]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AVERAGE(Table1[[#This Row],[Autumn Week 1]:[Spring Exams]])*4*Table1[[#This Row],[Credits]]</f>
        <v>2.6666666666666665</v>
      </c>
      <c r="K29" s="11">
        <v>15</v>
      </c>
      <c r="L29" s="18"/>
      <c r="M29" s="18"/>
      <c r="N29" s="18"/>
      <c r="O29" s="19"/>
      <c r="P29" s="18"/>
      <c r="Q29" s="18">
        <v>0.2</v>
      </c>
      <c r="R29" s="18">
        <v>-0.2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AVERAGE(Table1[[#This Row],[Autumn Week 1]:[Spring Exams]])*4*Table1[[#This Row],[Credits]]</f>
        <v>2.6666666666666665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AVERAGE(Table1[[#This Row],[Autumn Week 1]:[Spring Exams]])*4*Table1[[#This Row],[Credits]]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AVERAGE(Table1[[#This Row],[Autumn Week 1]:[Spring Exams]])*4*Table1[[#This Row],[Credits]]</f>
        <v>1.1333333333333333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AVERAGE(Table1[[#This Row],[Autumn Week 1]:[Spring Exams]])*4*Table1[[#This Row],[Credits]]</f>
        <v>0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AVERAGE(Table1[[#This Row],[Autumn Week 1]:[Spring Exams]])*4*Table1[[#This Row],[Credits]]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AVERAGE(Table1[[#This Row],[Autumn Week 1]:[Spring Exams]])*4*Table1[[#This Row],[Credits]]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AVERAGE(Table1[[#This Row],[Autumn Week 1]:[Spring Exams]])*4*Table1[[#This Row],[Credits]]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AVERAGE(Table1[[#This Row],[Autumn Week 1]:[Spring Exams]])*4*Table1[[#This Row],[Credits]]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AVERAGE(Table1[[#This Row],[Autumn Week 1]:[Spring Exams]])*4*Table1[[#This Row],[Credits]]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AVERAGE(Table1[[#This Row],[Autumn Week 1]:[Spring Exams]])*4*Table1[[#This Row],[Credits]]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AVERAGE(Table1[[#This Row],[Autumn Week 1]:[Spring Exams]])*4*Table1[[#This Row],[Credits]]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AVERAGE(Table1[[#This Row],[Autumn Week 1]:[Spring Exams]])*4*Table1[[#This Row],[Credits]]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AVERAGE(Table1[[#This Row],[Autumn Week 1]:[Spring Exams]])*4*Table1[[#This Row],[Credits]]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AVERAGE(Table1[[#This Row],[Autumn Week 1]:[Spring Exams]])*4*Table1[[#This Row],[Credits]]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AVERAGE(Table1[[#This Row],[Autumn Week 1]:[Spring Exams]])*4*Table1[[#This Row],[Credits]]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AVERAGE(Table1[[#This Row],[Autumn Week 1]:[Spring Exams]])*4*Table1[[#This Row],[Credits]]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AVERAGE(Table1[[#This Row],[Autumn Week 1]:[Spring Exams]])*4*Table1[[#This Row],[Credits]]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AVERAGE(Table1[[#This Row],[Autumn Week 1]:[Spring Exams]])*4*Table1[[#This Row],[Credits]]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AVERAGE(Table1[[#This Row],[Autumn Week 1]:[Spring Exams]])*4*Table1[[#This Row],[Credits]]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AVERAGE(Table1[[#This Row],[Autumn Week 1]:[Spring Exams]])*4*Table1[[#This Row],[Credits]]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AVERAGE(Table1[[#This Row],[Autumn Week 1]:[Spring Exams]])*4*Table1[[#This Row],[Credits]]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AVERAGE(Table1[[#This Row],[Autumn Week 1]:[Spring Exams]])*4*Table1[[#This Row],[Credits]]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AVERAGE(Table1[[#This Row],[Autumn Week 1]:[Spring Exams]])*4*Table1[[#This Row],[Credits]]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AVERAGE(Table1[[#This Row],[Autumn Week 1]:[Spring Exams]])*4*Table1[[#This Row],[Credits]]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AVERAGE(Table1[[#This Row],[Autumn Week 1]:[Spring Exams]])*4*Table1[[#This Row],[Credits]]</f>
        <v>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AVERAGE(Table1[[#This Row],[Autumn Week 1]:[Spring Exams]])*4*Table1[[#This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AVERAGE(Table1[[#This Row],[Autumn Week 1]:[Spring Exams]])*4*Table1[[#This Row],[Credits]]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AVERAGE(Table1[[#This Row],[Autumn Week 1]:[Spring Exams]])*4*Table1[[#This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AVERAGE(Table1[[#This Row],[Autumn Week 1]:[Spring Exams]])*4*Table1[[#This Row],[Credits]]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AVERAGE(Table1[[#This Row],[Autumn Week 1]:[Spring Exams]])*4*Table1[[#This Row],[Credits]]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AVERAGE(Table1[[#This Row],[Autumn Week 1]:[Spring Exams]])*4*Table1[[#This Row],[Credits]]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AVERAGE(Table1[[#This Row],[Autumn Week 1]:[Spring Exams]])*4*Table1[[#This Row],[Credits]]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AVERAGE(Table1[[#This Row],[Autumn Week 1]:[Spring Exams]])*4*Table1[[#This Row],[Credits]]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AVERAGE(Table1[[#This Row],[Autumn Week 1]:[Spring Exams]])*4*Table1[[#This Row],[Credits]]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AVERAGE(Table1[[#This Row],[Autumn Week 1]:[Spring Exams]])*4*Table1[[#This Row],[Credits]]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AVERAGE(Table1[[#This Row],[Autumn Week 1]:[Spring Exams]])*4*Table1[[#This Row],[Credits]]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AVERAGE(Table1[[#This Row],[Autumn Week 1]:[Spring Exams]])*4*Table1[[#This Row],[Credits]]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AVERAGE(Table1[[#This Row],[Autumn Week 1]:[Spring Exams]])*4*Table1[[#This Row],[Credits]]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AVERAGE(Table1[[#This Row],[Autumn Week 1]:[Spring Exams]])*4*Table1[[#This Row],[Credits]]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AVERAGE(Table1[[#This Row],[Autumn Week 1]:[Spring Exams]])*4*Table1[[#This Row],[Credits]]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AVERAGE(Table1[[#This Row],[Autumn Week 1]:[Spring Exams]])*4*Table1[[#This Row],[Credits]]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AVERAGE(Table1[[#This Row],[Autumn Week 1]:[Spring Exams]])*4*Table1[[#This Row],[Credits]]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AVERAGE(Table1[[#This Row],[Autumn Week 1]:[Spring Exams]])*4*Table1[[#This Row],[Credits]]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AVERAGE(Table1[[#This Row],[Autumn Week 1]:[Spring Exams]])*4*Table1[[#This Row],[Credits]]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AVERAGE(Table1[[#This Row],[Autumn Week 1]:[Spring Exams]])*4*Table1[[#This Row],[Credits]]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AVERAGE(Table1[[#This Row],[Autumn Week 1]:[Spring Exams]])*4*Table1[[#This Row],[Credits]]</f>
        <v>-4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AVERAGE(Table1[[#This Row],[Autumn Week 1]:[Spring Exams]])*4*Table1[[#This Row],[Credits]]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AVERAGE(Table1[[#This Row],[Autumn Week 1]:[Spring Exams]])*4*Table1[[#This Row],[Credits]]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AVERAGE(Table1[[#This Row],[Autumn Week 1]:[Spring Exams]])*4*Table1[[#This Row],[Credits]]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AVERAGE(Table1[[#This Row],[Autumn Week 1]:[Spring Exams]])*4*Table1[[#This Row],[Credits]]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AVERAGE(Table1[[#This Row],[Autumn Week 1]:[Spring Exams]])*4*Table1[[#This Row],[Credits]]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AVERAGE(Table1[[#This Row],[Autumn Week 1]:[Spring Exams]])*4*Table1[[#This Row],[Credits]]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AVERAGE(Table1[[#This Row],[Autumn Week 1]:[Spring Exams]])*4*Table1[[#This Row],[Credits]]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AVERAGE(Table1[[#This Row],[Autumn Week 1]:[Spring Exams]])*4*Table1[[#This Row],[Credits]]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AVERAGE(Table1[[#This Row],[Autumn Week 1]:[Spring Exams]])*4*Table1[[#This Row],[Credits]]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AVERAGE(Table1[[#This Row],[Autumn Week 1]:[Spring Exams]])*4*Table1[[#This Row],[Credits]]</f>
        <v>0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0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AVERAGE(Table1[[#This Row],[Autumn Week 1]:[Spring Exams]])*4*Table1[[#This Row],[Credits]]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AVERAGE(Table1[[#This Row],[Autumn Week 1]:[Spring Exams]])*4*Table1[[#This Row],[Credits]]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AVERAGE(Table1[[#This Row],[Autumn Week 1]:[Spring Exams]])*4*Table1[[#This Row],[Credits]]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AVERAGE(Table1[[#This Row],[Autumn Week 1]:[Spring Exams]])*4*Table1[[#This Row],[Credits]]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AVERAGE(Table1[[#This Row],[Autumn Week 1]:[Spring Exams]])*4*Table1[[#This Row],[Credits]]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AVERAGE(Table1[[#This Row],[Autumn Week 1]:[Spring Exams]])*4*Table1[[#This Row],[Credits]]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AVERAGE(Table1[[#This Row],[Autumn Week 1]:[Spring Exams]])*4*Table1[[#This Row],[Credits]]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AVERAGE(Table1[[#This Row],[Autumn Week 1]:[Spring Exams]])*4*Table1[[#This Row],[Credits]]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AVERAGE(Table1[[#This Row],[Autumn Week 1]:[Spring Exams]])*4*Table1[[#This Row],[Credits]]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AVERAGE(Table1[[#This Row],[Autumn Week 1]:[Spring Exams]])*4*Table1[[#This Row],[Credits]]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AVERAGE(Table1[[#This Row],[Autumn Week 1]:[Spring Exams]])*4*Table1[[#This Row],[Credits]]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AVERAGE(Table1[[#This Row],[Autumn Week 1]:[Spring Exams]])*4*Table1[[#This Row],[Credits]]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AVERAGE(Table1[[#This Row],[Autumn Week 1]:[Spring Exams]])*4*Table1[[#This Row],[Credits]]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AVERAGE(Table1[[#This Row],[Autumn Week 1]:[Spring Exams]])*4*Table1[[#This Row],[Credits]]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AVERAGE(Table1[[#This Row],[Autumn Week 1]:[Spring Exams]])*4*Table1[[#This Row],[Credits]]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AVERAGE(Table1[[#This Row],[Autumn Week 1]:[Spring Exams]])*4*Table1[[#This Row],[Credits]]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AVERAGE(Table1[[#This Row],[Autumn Week 1]:[Spring Exams]])*4*Table1[[#This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AVERAGE(Table1[[#This Row],[Autumn Week 1]:[Spring Exams]])*4*Table1[[#This Row],[Credits]]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AVERAGE(Table1[[#This Row],[Autumn Week 1]:[Spring Exams]])*4*Table1[[#This Row],[Credits]]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AVERAGE(Table1[[#This Row],[Autumn Week 1]:[Spring Exams]])*4*Table1[[#This Row],[Credits]]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AVERAGE(Table1[[#This Row],[Autumn Week 1]:[Spring Exams]])*4*Table1[[#This Row],[Credits]]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AVERAGE(Table1[[#This Row],[Autumn Week 1]:[Spring Exams]])*4*Table1[[#This Row],[Credits]]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AVERAGE(Table1[[#This Row],[Autumn Week 1]:[Spring Exams]])*4*Table1[[#This Row],[Credits]]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AVERAGE(Table1[[#This Row],[Autumn Week 1]:[Spring Exams]])*4*Table1[[#This Row],[Credits]]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>
        <v>0.4</v>
      </c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AVERAGE(Table1[[#This Row],[Autumn Week 1]:[Spring Exams]])*4*Table1[[#This Row],[Credits]]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AVERAGE(Table1[[#This Row],[Autumn Week 1]:[Spring Exams]])*4*Table1[[#This Row],[Credits]]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AVERAGE(Table1[[#This Row],[Autumn Week 1]:[Spring Exams]])*4*Table1[[#This Row],[Credits]]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AVERAGE(Table1[[#This Row],[Autumn Week 1]:[Spring Exams]])*4*Table1[[#This Row],[Credits]]</f>
        <v>0.49999999999999994</v>
      </c>
      <c r="K116" s="11">
        <v>0.5</v>
      </c>
      <c r="L116" s="18"/>
      <c r="M116" s="18"/>
      <c r="N116" s="18"/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300</v>
      </c>
      <c r="I117" s="11">
        <v>4</v>
      </c>
      <c r="J117" s="11">
        <f>AVERAGE(Table1[[#This Row],[Autumn Week 1]:[Spring Exams]])*4*Table1[[#This Row],[Credits]]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300</v>
      </c>
      <c r="I118" s="11">
        <v>3</v>
      </c>
      <c r="J118" s="11">
        <f>AVERAGE(Table1[[#This Row],[Autumn Week 1]:[Spring Exams]])*4*Table1[[#This Row],[Credits]]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370</v>
      </c>
      <c r="G119" s="11" t="s">
        <v>229</v>
      </c>
      <c r="H119" s="11" t="s">
        <v>322</v>
      </c>
      <c r="I119" s="11">
        <v>3</v>
      </c>
      <c r="J119" s="11">
        <f>AVERAGE(Table1[[#This Row],[Autumn Week 1]:[Spring Exams]])*4*Table1[[#This Row],[Credits]]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386</v>
      </c>
      <c r="G120" s="11" t="s">
        <v>229</v>
      </c>
      <c r="H120" s="11" t="s">
        <v>310</v>
      </c>
      <c r="I120" s="11">
        <v>2</v>
      </c>
      <c r="J120" s="11">
        <f>AVERAGE(Table1[[#This Row],[Autumn Week 1]:[Spring Exams]])*4*Table1[[#This Row],[Credits]]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300</v>
      </c>
      <c r="I121" s="11">
        <v>1</v>
      </c>
      <c r="J121" s="11">
        <f>AVERAGE(Table1[[#This Row],[Autumn Week 1]:[Spring Exams]])*4*Table1[[#This Row],[Credits]]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/>
      <c r="R121" s="18">
        <v>1.4999999999999999E-2</v>
      </c>
      <c r="S121" s="18">
        <v>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300</v>
      </c>
      <c r="I122" s="11">
        <v>6</v>
      </c>
      <c r="J122" s="11">
        <f>AVERAGE(Table1[[#This Row],[Autumn Week 1]:[Spring Exams]])*4*Table1[[#This Row],[Credits]]</f>
        <v>3.5999999999999996</v>
      </c>
      <c r="K122" s="11"/>
      <c r="L122" s="18"/>
      <c r="M122" s="18"/>
      <c r="N122" s="18"/>
      <c r="O122" s="19"/>
      <c r="P122" s="18"/>
      <c r="Q122" s="19">
        <v>0.1</v>
      </c>
      <c r="R122" s="18"/>
      <c r="S122" s="19"/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298</v>
      </c>
      <c r="G123" s="11" t="s">
        <v>220</v>
      </c>
      <c r="H123" s="11" t="s">
        <v>300</v>
      </c>
      <c r="I123" s="11">
        <v>1</v>
      </c>
      <c r="J123" s="11">
        <f>AVERAGE(Table1[[#This Row],[Autumn Week 1]:[Spring Exams]])*4*Table1[[#This Row],[Credits]]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297</v>
      </c>
      <c r="G124" s="11" t="s">
        <v>229</v>
      </c>
      <c r="H124" s="11" t="s">
        <v>300</v>
      </c>
      <c r="I124" s="11">
        <v>1</v>
      </c>
      <c r="J124" s="11">
        <f>AVERAGE(Table1[[#This Row],[Autumn Week 1]:[Spring Exams]])*4*Table1[[#This Row],[Credits]]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328</v>
      </c>
      <c r="G125" s="11" t="s">
        <v>229</v>
      </c>
      <c r="H125" s="11" t="s">
        <v>346</v>
      </c>
      <c r="I125" s="11">
        <v>4</v>
      </c>
      <c r="J125" s="11">
        <f>AVERAGE(Table1[[#This Row],[Autumn Week 1]:[Spring Exams]])*4*Table1[[#This Row],[Credits]]</f>
        <v>0</v>
      </c>
      <c r="K125" s="11"/>
      <c r="L125" s="18"/>
      <c r="M125" s="18"/>
      <c r="N125" s="18"/>
      <c r="O125" s="19"/>
      <c r="P125" s="18">
        <v>0.35</v>
      </c>
      <c r="Q125" s="18">
        <v>-0.35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0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300</v>
      </c>
      <c r="I126" s="11">
        <v>4</v>
      </c>
      <c r="J126" s="11">
        <f>AVERAGE(Table1[[#This Row],[Autumn Week 1]:[Spring Exams]])*4*Table1[[#This Row],[Credits]]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362</v>
      </c>
      <c r="G127" s="11" t="s">
        <v>229</v>
      </c>
      <c r="H127" s="11" t="s">
        <v>306</v>
      </c>
      <c r="I127" s="11">
        <v>1</v>
      </c>
      <c r="J127" s="11">
        <f>AVERAGE(Table1[[#This Row],[Autumn Week 1]:[Spring Exams]])*4*Table1[[#This Row],[Credits]]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300</v>
      </c>
      <c r="I128" s="11">
        <v>2</v>
      </c>
      <c r="J128" s="11">
        <f>AVERAGE(Table1[[#This Row],[Autumn Week 1]:[Spring Exams]])*4*Table1[[#This Row],[Credits]]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306</v>
      </c>
      <c r="I129" s="11">
        <v>3</v>
      </c>
      <c r="J129" s="11">
        <f>AVERAGE(Table1[[#This Row],[Autumn Week 1]:[Spring Exams]])*4*Table1[[#This Row],[Credits]]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300</v>
      </c>
      <c r="I130" s="11">
        <v>4</v>
      </c>
      <c r="J130" s="11">
        <f>AVERAGE(Table1[[#This Row],[Autumn Week 1]:[Spring Exams]])*4*Table1[[#This Row],[Credits]]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306</v>
      </c>
      <c r="I131" s="11">
        <v>1</v>
      </c>
      <c r="J131" s="11">
        <f>AVERAGE(Table1[[#This Row],[Autumn Week 1]:[Spring Exams]])*4*Table1[[#This Row],[Credits]]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3</v>
      </c>
      <c r="J132" s="11">
        <f>AVERAGE(Table1[[#This Row],[Autumn Week 1]:[Spring Exams]])*4*Table1[[#This Row],[Credits]]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337</v>
      </c>
      <c r="G133" s="11" t="s">
        <v>229</v>
      </c>
      <c r="H133" s="11" t="s">
        <v>310</v>
      </c>
      <c r="I133" s="11">
        <v>2</v>
      </c>
      <c r="J133" s="11">
        <f>AVERAGE(Table1[[#This Row],[Autumn Week 1]:[Spring Exams]])*4*Table1[[#This Row],[Credits]]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354</v>
      </c>
      <c r="I134" s="11">
        <v>1</v>
      </c>
      <c r="J134" s="11">
        <f>AVERAGE(Table1[[#This Row],[Autumn Week 1]:[Spring Exams]])*4*Table1[[#This Row],[Credits]]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354</v>
      </c>
      <c r="I135" s="11">
        <v>1</v>
      </c>
      <c r="J135" s="11">
        <f>AVERAGE(Table1[[#This Row],[Autumn Week 1]:[Spring Exams]])*4*Table1[[#This Row],[Credits]]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300</v>
      </c>
      <c r="I136" s="11">
        <v>3</v>
      </c>
      <c r="J136" s="11">
        <f>AVERAGE(Table1[[#This Row],[Autumn Week 1]:[Spring Exams]])*4*Table1[[#This Row],[Credits]]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300</v>
      </c>
      <c r="I137" s="11">
        <v>3</v>
      </c>
      <c r="J137" s="11">
        <f>AVERAGE(Table1[[#This Row],[Autumn Week 1]:[Spring Exams]])*4*Table1[[#This Row],[Credits]]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300</v>
      </c>
      <c r="I138" s="11">
        <v>1</v>
      </c>
      <c r="J138" s="11">
        <f>AVERAGE(Table1[[#This Row],[Autumn Week 1]:[Spring Exams]])*4*Table1[[#This Row],[Credits]]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306</v>
      </c>
      <c r="I139" s="11">
        <v>1</v>
      </c>
      <c r="J139" s="11">
        <f>AVERAGE(Table1[[#This Row],[Autumn Week 1]:[Spring Exams]])*4*Table1[[#This Row],[Credits]]</f>
        <v>0.32727272727272722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v>-0.01</v>
      </c>
      <c r="Y139" s="20">
        <v>0.01</v>
      </c>
      <c r="Z139" s="20">
        <v>0.01</v>
      </c>
      <c r="AA139" s="20">
        <v>0.01</v>
      </c>
      <c r="AB139" s="20">
        <v>0.01</v>
      </c>
      <c r="AC139" s="20">
        <v>0.01</v>
      </c>
      <c r="AD139" s="20">
        <v>0.01</v>
      </c>
      <c r="AE139" s="20">
        <v>0.01</v>
      </c>
      <c r="AF139" s="20">
        <v>0.01</v>
      </c>
      <c r="AG139" s="20">
        <v>0.01</v>
      </c>
      <c r="AH139" s="20">
        <v>0.01</v>
      </c>
      <c r="AI139" s="20"/>
      <c r="AJ139" s="20"/>
      <c r="AK139" s="27">
        <f>SUMIF(Table1[[#This Row],[Autumn Week 1]:[Spring Week 12]],"&gt;0",Table1[[#This Row],[Autumn Week 1]:[Spring Week 12]])</f>
        <v>9.9999999999999992E-2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346</v>
      </c>
      <c r="I140" s="11">
        <v>4</v>
      </c>
      <c r="J140" s="11">
        <f>AVERAGE(Table1[[#This Row],[Autumn Week 1]:[Spring Exams]])*4*Table1[[#This Row],[Credits]]</f>
        <v>2.6666666666666665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5.333333333333333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300</v>
      </c>
      <c r="I141" s="11">
        <v>1</v>
      </c>
      <c r="J141" s="11">
        <f>AVERAGE(Table1[[#This Row],[Autumn Week 1]:[Spring Exams]])*4*Table1[[#This Row],[Credits]]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300</v>
      </c>
      <c r="I142" s="11">
        <v>1</v>
      </c>
      <c r="J142" s="11">
        <f>AVERAGE(Table1[[#This Row],[Autumn Week 1]:[Spring Exams]])*4*Table1[[#This Row],[Credits]]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385</v>
      </c>
      <c r="G143" s="11" t="s">
        <v>229</v>
      </c>
      <c r="H143" s="11" t="s">
        <v>300</v>
      </c>
      <c r="I143" s="11">
        <v>3</v>
      </c>
      <c r="J143" s="11">
        <f>AVERAGE(Table1[[#This Row],[Autumn Week 1]:[Spring Exams]])*4*Table1[[#This Row],[Credits]]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300</v>
      </c>
      <c r="I144" s="11">
        <v>3</v>
      </c>
      <c r="J144" s="11">
        <f>AVERAGE(Table1[[#This Row],[Autumn Week 1]:[Spring Exams]])*4*Table1[[#This Row],[Credits]]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300</v>
      </c>
      <c r="I145" s="11">
        <v>3</v>
      </c>
      <c r="J145" s="11">
        <f>AVERAGE(Table1[[#This Row],[Autumn Week 1]:[Spring Exams]])*4*Table1[[#This Row],[Credits]]</f>
        <v>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>
        <v>0.2</v>
      </c>
      <c r="AD145" s="20"/>
      <c r="AE145" s="20">
        <v>-0.2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0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345</v>
      </c>
      <c r="G146" s="11" t="s">
        <v>229</v>
      </c>
      <c r="H146" s="11" t="s">
        <v>300</v>
      </c>
      <c r="I146" s="11">
        <v>3</v>
      </c>
      <c r="J146" s="11">
        <f>AVERAGE(Table1[[#This Row],[Autumn Week 1]:[Spring Exams]])*4*Table1[[#This Row],[Credits]]</f>
        <v>12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0.3</v>
      </c>
      <c r="AL146" s="27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384</v>
      </c>
      <c r="G147" s="11" t="s">
        <v>229</v>
      </c>
      <c r="H147" s="11" t="s">
        <v>300</v>
      </c>
      <c r="I147" s="11">
        <v>3</v>
      </c>
      <c r="J147" s="11">
        <f>AVERAGE(Table1[[#This Row],[Autumn Week 1]:[Spring Exams]])*4*Table1[[#This Row],[Credits]]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300</v>
      </c>
      <c r="I148" s="11">
        <v>3</v>
      </c>
      <c r="J148" s="11">
        <f>AVERAGE(Table1[[#This Row],[Autumn Week 1]:[Spring Exams]])*4*Table1[[#This Row],[Credits]]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300</v>
      </c>
      <c r="I149" s="11">
        <v>3</v>
      </c>
      <c r="J149" s="11">
        <f>AVERAGE(Table1[[#This Row],[Autumn Week 1]:[Spring Exams]])*4*Table1[[#This Row],[Credits]]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339</v>
      </c>
      <c r="H150" s="11" t="s">
        <v>361</v>
      </c>
      <c r="I150" s="11">
        <v>1</v>
      </c>
      <c r="J150" s="11">
        <f>AVERAGE(Table1[[#This Row],[Autumn Week 1]:[Spring Exams]])*4*Table1[[#This Row],[Credits]]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333</v>
      </c>
      <c r="G151" s="11" t="s">
        <v>220</v>
      </c>
      <c r="H151" s="11" t="s">
        <v>300</v>
      </c>
      <c r="I151" s="11">
        <v>1</v>
      </c>
      <c r="J151" s="11">
        <f>AVERAGE(Table1[[#This Row],[Autumn Week 1]:[Spring Exams]])*4*Table1[[#This Row],[Credits]]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334</v>
      </c>
      <c r="G152" s="11" t="s">
        <v>229</v>
      </c>
      <c r="H152" s="11" t="s">
        <v>346</v>
      </c>
      <c r="I152" s="11">
        <v>1</v>
      </c>
      <c r="J152" s="11">
        <f>AVERAGE(Table1[[#This Row],[Autumn Week 1]:[Spring Exams]])*4*Table1[[#This Row],[Credits]]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335</v>
      </c>
      <c r="G153" s="11" t="s">
        <v>229</v>
      </c>
      <c r="H153" s="11" t="s">
        <v>322</v>
      </c>
      <c r="I153" s="11">
        <v>1</v>
      </c>
      <c r="J153" s="11">
        <f>AVERAGE(Table1[[#This Row],[Autumn Week 1]:[Spring Exams]])*4*Table1[[#This Row],[Credits]]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336</v>
      </c>
      <c r="G154" s="11" t="s">
        <v>220</v>
      </c>
      <c r="H154" s="11" t="s">
        <v>300</v>
      </c>
      <c r="I154" s="11">
        <v>11</v>
      </c>
      <c r="J154" s="11">
        <f>AVERAGE(Table1[[#This Row],[Autumn Week 1]:[Spring Exams]])*4*Table1[[#This Row],[Credits]]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346</v>
      </c>
      <c r="I155" s="11">
        <v>11</v>
      </c>
      <c r="J155" s="11">
        <f>AVERAGE(Table1[[#This Row],[Autumn Week 1]:[Spring Exams]])*4*Table1[[#This Row],[Credits]]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337</v>
      </c>
      <c r="G156" s="11" t="s">
        <v>229</v>
      </c>
      <c r="H156" s="11" t="s">
        <v>310</v>
      </c>
      <c r="I156" s="11">
        <v>1</v>
      </c>
      <c r="J156" s="11">
        <f>AVERAGE(Table1[[#This Row],[Autumn Week 1]:[Spring Exams]])*4*Table1[[#This Row],[Credits]]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308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338</v>
      </c>
      <c r="G157" s="11" t="s">
        <v>229</v>
      </c>
      <c r="H157" s="11" t="s">
        <v>310</v>
      </c>
      <c r="I157" s="11">
        <v>1</v>
      </c>
      <c r="J157" s="11">
        <f>AVERAGE(Table1[[#This Row],[Autumn Week 1]:[Spring Exams]])*4*Table1[[#This Row],[Credits]]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300</v>
      </c>
      <c r="I158" s="11">
        <v>2</v>
      </c>
      <c r="J158" s="11">
        <f>AVERAGE(Table1[[#This Row],[Autumn Week 1]:[Spring Exams]])*4*Table1[[#This Row],[Credits]]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300</v>
      </c>
      <c r="I159" s="11">
        <v>4</v>
      </c>
      <c r="J159" s="11">
        <f>AVERAGE(Table1[[#This Row],[Autumn Week 1]:[Spring Exams]])*4*Table1[[#This Row],[Credits]]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300</v>
      </c>
      <c r="I160" s="11">
        <v>3</v>
      </c>
      <c r="J160" s="11">
        <f>AVERAGE(Table1[[#This Row],[Autumn Week 1]:[Spring Exams]])*4*Table1[[#This Row],[Credits]]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300</v>
      </c>
      <c r="I161" s="11">
        <v>5</v>
      </c>
      <c r="J161" s="11">
        <f>AVERAGE(Table1[[#This Row],[Autumn Week 1]:[Spring Exams]])*4*Table1[[#This Row],[Credits]]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299</v>
      </c>
      <c r="G162" s="11" t="s">
        <v>229</v>
      </c>
      <c r="H162" s="11" t="s">
        <v>300</v>
      </c>
      <c r="I162" s="11">
        <v>1</v>
      </c>
      <c r="J162" s="11">
        <f>AVERAGE(Table1[[#This Row],[Autumn Week 1]:[Spring Exams]])*4*Table1[[#This Row],[Credits]]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301</v>
      </c>
      <c r="G163" s="11" t="s">
        <v>229</v>
      </c>
      <c r="H163" s="11" t="s">
        <v>300</v>
      </c>
      <c r="I163" s="11">
        <v>1</v>
      </c>
      <c r="J163" s="11">
        <f>AVERAGE(Table1[[#This Row],[Autumn Week 1]:[Spring Exams]])*4*Table1[[#This Row],[Credits]]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302</v>
      </c>
      <c r="G164" s="11" t="s">
        <v>229</v>
      </c>
      <c r="H164" s="11" t="s">
        <v>300</v>
      </c>
      <c r="I164" s="11">
        <v>11</v>
      </c>
      <c r="J164" s="11">
        <f>AVERAGE(Table1[[#This Row],[Autumn Week 1]:[Spring Exams]])*4*Table1[[#This Row],[Credits]]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303</v>
      </c>
      <c r="G165" s="11" t="s">
        <v>229</v>
      </c>
      <c r="H165" s="11" t="s">
        <v>300</v>
      </c>
      <c r="I165" s="11">
        <v>2</v>
      </c>
      <c r="J165" s="11">
        <f>AVERAGE(Table1[[#This Row],[Autumn Week 1]:[Spring Exams]])*4*Table1[[#This Row],[Credits]]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304</v>
      </c>
      <c r="G166" s="11" t="s">
        <v>229</v>
      </c>
      <c r="H166" s="11" t="s">
        <v>300</v>
      </c>
      <c r="I166" s="11">
        <v>2</v>
      </c>
      <c r="J166" s="11">
        <f>AVERAGE(Table1[[#This Row],[Autumn Week 1]:[Spring Exams]])*4*Table1[[#This Row],[Credits]]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305</v>
      </c>
      <c r="G167" s="11" t="s">
        <v>229</v>
      </c>
      <c r="H167" s="11" t="s">
        <v>306</v>
      </c>
      <c r="I167" s="11">
        <v>3</v>
      </c>
      <c r="J167" s="11">
        <f>AVERAGE(Table1[[#This Row],[Autumn Week 1]:[Spring Exams]])*4*Table1[[#This Row],[Credits]]</f>
        <v>24</v>
      </c>
      <c r="K167" s="11"/>
      <c r="L167" s="18"/>
      <c r="M167" s="18"/>
      <c r="N167" s="18"/>
      <c r="O167" s="19"/>
      <c r="P167" s="18">
        <v>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300</v>
      </c>
      <c r="I168" s="11">
        <v>6</v>
      </c>
      <c r="J168" s="11">
        <f>AVERAGE(Table1[[#This Row],[Autumn Week 1]:[Spring Exams]])*4*Table1[[#This Row],[Credits]]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307</v>
      </c>
      <c r="G169" s="11" t="s">
        <v>229</v>
      </c>
      <c r="H169" s="11" t="s">
        <v>300</v>
      </c>
      <c r="I169" s="11">
        <v>6</v>
      </c>
      <c r="J169" s="11">
        <f>AVERAGE(Table1[[#This Row],[Autumn Week 1]:[Spring Exams]])*4*Table1[[#This Row],[Credits]]</f>
        <v>24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0.3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308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309</v>
      </c>
      <c r="G170" s="11" t="s">
        <v>229</v>
      </c>
      <c r="H170" s="11" t="s">
        <v>310</v>
      </c>
      <c r="I170" s="11">
        <v>1</v>
      </c>
      <c r="J170" s="11">
        <f>AVERAGE(Table1[[#This Row],[Autumn Week 1]:[Spring Exams]])*4*Table1[[#This Row],[Credits]]</f>
        <v>16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311</v>
      </c>
      <c r="G171" s="11" t="s">
        <v>229</v>
      </c>
      <c r="H171" s="11" t="s">
        <v>300</v>
      </c>
      <c r="I171" s="11">
        <v>3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307</v>
      </c>
      <c r="G172" s="11" t="s">
        <v>229</v>
      </c>
      <c r="H172" s="11" t="s">
        <v>300</v>
      </c>
      <c r="I172" s="11">
        <v>7</v>
      </c>
      <c r="J172" s="11">
        <f>AVERAGE(Table1[[#This Row],[Autumn Week 1]:[Spring Exams]])*4*Table1[[#This Row],[Credits]]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312</v>
      </c>
      <c r="G173" s="11" t="s">
        <v>229</v>
      </c>
      <c r="H173" s="11" t="s">
        <v>300</v>
      </c>
      <c r="I173" s="11">
        <v>6</v>
      </c>
      <c r="J173" s="11">
        <f>AVERAGE(Table1[[#This Row],[Autumn Week 1]:[Spring Exams]])*4*Table1[[#This Row],[Credits]]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313</v>
      </c>
      <c r="G174" s="11" t="s">
        <v>229</v>
      </c>
      <c r="H174" s="11" t="s">
        <v>300</v>
      </c>
      <c r="I174" s="11">
        <v>6</v>
      </c>
      <c r="J174" s="11">
        <f>AVERAGE(Table1[[#This Row],[Autumn Week 1]:[Spring Exams]])*4*Table1[[#This Row],[Credits]]</f>
        <v>36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0.45</v>
      </c>
      <c r="AJ174" s="20"/>
      <c r="AK174" s="27">
        <f>SUMIF(Table1[[#This Row],[Autumn Week 1]:[Spring Week 12]],"&gt;0",Table1[[#This Row],[Autumn Week 1]:[Spring Week 12]])</f>
        <v>0.45</v>
      </c>
      <c r="AL174" s="27">
        <f>IF(Table1[[#This Row],[Hours]]&gt;0,Table1[[#This Row],[Hours]],Table1[[#This Row],[Nominal Hours]])*COUNTIF(Table1[[#This Row],[Autumn Week 1]:[Spring Week 12]],"&gt;0")</f>
        <v>36</v>
      </c>
    </row>
    <row r="175" spans="1:38">
      <c r="A175" s="3" t="s">
        <v>314</v>
      </c>
      <c r="B175" s="28" t="s">
        <v>315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316</v>
      </c>
      <c r="G175" s="11" t="s">
        <v>229</v>
      </c>
      <c r="H175" s="11" t="s">
        <v>317</v>
      </c>
      <c r="I175" s="11">
        <v>4</v>
      </c>
      <c r="J175" s="11">
        <f>AVERAGE(Table1[[#This Row],[Autumn Week 1]:[Spring Exams]])*4*Table1[[#This Row],[Credits]]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318</v>
      </c>
      <c r="G176" s="11" t="s">
        <v>229</v>
      </c>
      <c r="H176" s="11" t="s">
        <v>317</v>
      </c>
      <c r="I176" s="11">
        <v>6</v>
      </c>
      <c r="J176" s="11">
        <f>AVERAGE(Table1[[#This Row],[Autumn Week 1]:[Spring Exams]])*4*Table1[[#This Row],[Credits]]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319</v>
      </c>
      <c r="B177" s="28" t="s">
        <v>320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321</v>
      </c>
      <c r="G177" s="11" t="s">
        <v>229</v>
      </c>
      <c r="H177" s="11" t="s">
        <v>322</v>
      </c>
      <c r="I177" s="11">
        <v>3</v>
      </c>
      <c r="J177" s="11">
        <f>AVERAGE(Table1[[#This Row],[Autumn Week 1]:[Spring Exams]])*4*Table1[[#This Row],[Credits]]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323</v>
      </c>
      <c r="G178" s="11" t="s">
        <v>229</v>
      </c>
      <c r="H178" s="11" t="s">
        <v>322</v>
      </c>
      <c r="I178" s="11">
        <v>8</v>
      </c>
      <c r="J178" s="11">
        <f>AVERAGE(Table1[[#This Row],[Autumn Week 1]:[Spring Exams]])*4*Table1[[#This Row],[Credits]]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324</v>
      </c>
      <c r="G179" s="11" t="s">
        <v>229</v>
      </c>
      <c r="H179" s="11" t="s">
        <v>322</v>
      </c>
      <c r="I179" s="11">
        <v>3</v>
      </c>
      <c r="J179" s="11">
        <f>AVERAGE(Table1[[#This Row],[Autumn Week 1]:[Spring Exams]])*4*Table1[[#This Row],[Credits]]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325</v>
      </c>
      <c r="B180" s="28" t="s">
        <v>326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327</v>
      </c>
      <c r="G180" s="11" t="s">
        <v>229</v>
      </c>
      <c r="H180" s="11" t="s">
        <v>322</v>
      </c>
      <c r="I180" s="11">
        <v>4</v>
      </c>
      <c r="J180" s="11">
        <f>AVERAGE(Table1[[#This Row],[Autumn Week 1]:[Spring Exams]])*4*Table1[[#This Row],[Credits]]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325</v>
      </c>
      <c r="B181" s="28" t="s">
        <v>326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328</v>
      </c>
      <c r="G181" s="11" t="s">
        <v>229</v>
      </c>
      <c r="H181" s="11" t="s">
        <v>310</v>
      </c>
      <c r="I181" s="11">
        <v>1</v>
      </c>
      <c r="J181" s="11">
        <f>AVERAGE(Table1[[#This Row],[Autumn Week 1]:[Spring Exams]])*4*Table1[[#This Row],[Credits]]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329</v>
      </c>
      <c r="B182" s="28" t="s">
        <v>330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331</v>
      </c>
      <c r="G182" s="11" t="s">
        <v>229</v>
      </c>
      <c r="H182" s="11" t="s">
        <v>322</v>
      </c>
      <c r="I182" s="11">
        <v>2</v>
      </c>
      <c r="J182" s="11">
        <f>AVERAGE(Table1[[#This Row],[Autumn Week 1]:[Spring Exams]])*4*Table1[[#This Row],[Credits]]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82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4</v>
      </c>
      <c r="D50">
        <f>INDEX(Table14[Total],MATCH(Sheet2!A50,Table14[Module Code],0))</f>
        <v>22</v>
      </c>
      <c r="E50">
        <f t="shared" si="0"/>
        <v>26</v>
      </c>
      <c r="F50">
        <f t="shared" si="1"/>
        <v>2.6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26</v>
      </c>
      <c r="D55">
        <f>INDEX(Table14[Total],MATCH(Sheet2!A55,Table14[Module Code],0))</f>
        <v>22</v>
      </c>
      <c r="E55">
        <f t="shared" si="0"/>
        <v>48</v>
      </c>
      <c r="F55">
        <f t="shared" si="1"/>
        <v>4.8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2026-05-07T15:25:57Z</dcterms:modified>
</cp:coreProperties>
</file>