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667" documentId="8_{F30C7968-F540-46E6-A81C-665FBDA0D3DA}" xr6:coauthVersionLast="47" xr6:coauthVersionMax="47" xr10:uidLastSave="{44791E17-0171-4A8F-AC83-9BF5FE1675C4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1" l="1"/>
  <c r="E75" i="1"/>
  <c r="J75" i="1" s="1"/>
  <c r="AL75" i="1" s="1"/>
  <c r="D75" i="1"/>
  <c r="AK84" i="1"/>
  <c r="E84" i="1"/>
  <c r="J84" i="1" s="1"/>
  <c r="AL84" i="1" s="1"/>
  <c r="D84" i="1"/>
  <c r="E146" i="1"/>
  <c r="J146" i="1" s="1"/>
  <c r="AL146" i="1" s="1"/>
  <c r="D146" i="1"/>
  <c r="AK146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J78" i="1" l="1"/>
  <c r="AL78" i="1" s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J123" i="1" s="1"/>
  <c r="E124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J161" i="1" s="1"/>
  <c r="E160" i="1"/>
  <c r="J160" i="1" s="1"/>
  <c r="E159" i="1"/>
  <c r="J159" i="1" s="1"/>
  <c r="E158" i="1"/>
  <c r="J158" i="1" s="1"/>
  <c r="E157" i="1"/>
  <c r="E156" i="1"/>
  <c r="J156" i="1" s="1"/>
  <c r="E155" i="1"/>
  <c r="E154" i="1"/>
  <c r="J154" i="1" s="1"/>
  <c r="E153" i="1"/>
  <c r="J153" i="1" s="1"/>
  <c r="E152" i="1"/>
  <c r="J152" i="1" s="1"/>
  <c r="E151" i="1"/>
  <c r="J151" i="1" s="1"/>
  <c r="E150" i="1"/>
  <c r="E149" i="1"/>
  <c r="J149" i="1" s="1"/>
  <c r="E148" i="1"/>
  <c r="J148" i="1" s="1"/>
  <c r="E147" i="1"/>
  <c r="J147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31" i="1"/>
  <c r="J131" i="1" s="1"/>
  <c r="E121" i="1"/>
  <c r="J121" i="1" s="1"/>
  <c r="E120" i="1"/>
  <c r="J120" i="1" s="1"/>
  <c r="E119" i="1"/>
  <c r="J119" i="1" s="1"/>
  <c r="E118" i="1"/>
  <c r="J118" i="1" s="1"/>
  <c r="E117" i="1"/>
  <c r="J117" i="1" s="1"/>
  <c r="E116" i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E6" i="1"/>
  <c r="E4" i="1"/>
  <c r="J4" i="1" s="1"/>
  <c r="E3" i="1"/>
  <c r="J3" i="1" s="1"/>
  <c r="E2" i="1"/>
  <c r="J2" i="1" s="1"/>
  <c r="W94" i="2"/>
  <c r="L150" i="1"/>
  <c r="AL154" i="1"/>
  <c r="AL156" i="1"/>
  <c r="J179" i="1" l="1"/>
  <c r="AL179" i="1" s="1"/>
  <c r="AL172" i="1"/>
  <c r="J172" i="1"/>
  <c r="J167" i="1"/>
  <c r="AL167" i="1" s="1"/>
  <c r="J173" i="1"/>
  <c r="AL173" i="1" s="1"/>
  <c r="AL181" i="1"/>
  <c r="J181" i="1"/>
  <c r="J100" i="1"/>
  <c r="AL100" i="1" s="1"/>
  <c r="J171" i="1"/>
  <c r="AL171" i="1" s="1"/>
  <c r="J166" i="1"/>
  <c r="AL166" i="1" s="1"/>
  <c r="AL180" i="1"/>
  <c r="J180" i="1"/>
  <c r="J95" i="1"/>
  <c r="AL95" i="1" s="1"/>
  <c r="J162" i="1"/>
  <c r="AL162" i="1" s="1"/>
  <c r="AL168" i="1"/>
  <c r="J168" i="1"/>
  <c r="J174" i="1"/>
  <c r="AL174" i="1" s="1"/>
  <c r="AL182" i="1"/>
  <c r="J182" i="1"/>
  <c r="J101" i="1"/>
  <c r="AL101" i="1" s="1"/>
  <c r="J164" i="1"/>
  <c r="AL164" i="1" s="1"/>
  <c r="AL169" i="1"/>
  <c r="J169" i="1"/>
  <c r="J176" i="1"/>
  <c r="AL176" i="1" s="1"/>
  <c r="AK110" i="1"/>
  <c r="J110" i="1"/>
  <c r="AL115" i="1"/>
  <c r="J115" i="1"/>
  <c r="AL155" i="1"/>
  <c r="J155" i="1"/>
  <c r="J163" i="1"/>
  <c r="AL163" i="1" s="1"/>
  <c r="J175" i="1"/>
  <c r="AL175" i="1" s="1"/>
  <c r="AL114" i="1"/>
  <c r="J114" i="1"/>
  <c r="AL124" i="1"/>
  <c r="J124" i="1"/>
  <c r="AK150" i="1"/>
  <c r="J150" i="1"/>
  <c r="AL157" i="1"/>
  <c r="J157" i="1"/>
  <c r="J177" i="1"/>
  <c r="AL177" i="1" s="1"/>
  <c r="J122" i="1"/>
  <c r="AL122" i="1" s="1"/>
  <c r="J165" i="1"/>
  <c r="AL165" i="1" s="1"/>
  <c r="AL170" i="1"/>
  <c r="J170" i="1"/>
  <c r="J178" i="1"/>
  <c r="AL178" i="1" s="1"/>
  <c r="J72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V116" i="1"/>
  <c r="U116" i="1"/>
  <c r="T116" i="1"/>
  <c r="S116" i="1"/>
  <c r="R116" i="1"/>
  <c r="Q116" i="1"/>
  <c r="P116" i="1"/>
  <c r="O116" i="1"/>
  <c r="J116" i="1" l="1"/>
  <c r="AK116" i="1"/>
  <c r="AL117" i="1"/>
  <c r="AL21" i="1" l="1"/>
  <c r="S7" i="1"/>
  <c r="U7" i="1"/>
  <c r="O7" i="1"/>
  <c r="U6" i="1"/>
  <c r="T6" i="1"/>
  <c r="S6" i="1"/>
  <c r="R6" i="1"/>
  <c r="Q6" i="1"/>
  <c r="P6" i="1"/>
  <c r="O6" i="1"/>
  <c r="N6" i="1"/>
  <c r="M6" i="1"/>
  <c r="AL2" i="1"/>
  <c r="AL161" i="1"/>
  <c r="J6" i="1" l="1"/>
  <c r="AK7" i="1"/>
  <c r="J7" i="1"/>
  <c r="AK6" i="1"/>
  <c r="D62" i="3"/>
  <c r="E62" i="3"/>
  <c r="F62" i="3"/>
  <c r="AE62" i="3"/>
  <c r="AL160" i="1"/>
  <c r="AL159" i="1"/>
  <c r="AL158" i="1"/>
  <c r="W11" i="2"/>
  <c r="W91" i="2"/>
  <c r="W93" i="2"/>
  <c r="AH139" i="1"/>
  <c r="AG139" i="1"/>
  <c r="AF139" i="1"/>
  <c r="AE139" i="1"/>
  <c r="AD139" i="1"/>
  <c r="AC139" i="1"/>
  <c r="AB139" i="1"/>
  <c r="AA139" i="1"/>
  <c r="Z139" i="1"/>
  <c r="Y139" i="1"/>
  <c r="X139" i="1"/>
  <c r="AL140" i="1"/>
  <c r="V93" i="2"/>
  <c r="D161" i="1" s="1"/>
  <c r="V92" i="2"/>
  <c r="V91" i="2"/>
  <c r="T90" i="2"/>
  <c r="V90" i="2"/>
  <c r="V61" i="2"/>
  <c r="J139" i="1" l="1"/>
  <c r="AK139" i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<sst xmlns="http://schemas.openxmlformats.org/spreadsheetml/2006/main" count="2907" uniqueCount="390">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</sst>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Exams]])*4*Table1[[#This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F5" activePane="bottomRight" state="frozen"/>
      <selection pane="topRight" activeCell="C1" sqref="C1"/>
      <selection pane="bottomLeft" activeCell="A2" sqref="A2"/>
      <selection pane="bottomRight" activeCell="L20" sqref="L20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AVERAGE(Table1[[#This Row],[Autumn Week 1]:[Spring Exams]])*4*Table1[[#This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AVERAGE(Table1[[#This Row],[Autumn Week 1]:[Spring Exams]])*4*Table1[[#This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3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300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AVERAGE(Table1[[#This Row],[Autumn Week 1]:[Spring Exams]])*4*Table1[[#This Row],[Credits]]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AVERAGE(Table1[[#This Row],[Autumn Week 1]:[Spring Exams]])*4*Table1[[#This Row],[Credits]]</f>
        <v>1.1333333333333333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AVERAGE(Table1[[#This Row],[Autumn Week 1]:[Spring Exams]])*4*Table1[[#This Row],[Credits]]</f>
        <v>0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AVERAGE(Table1[[#This Row],[Autumn Week 1]:[Spring Exams]])*4*Table1[[#This Row],[Credits]]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1">0.3/9</f>
        <v>3.3333333333333333E-2</v>
      </c>
      <c r="O72" s="18">
        <f t="shared" si="1"/>
        <v>3.3333333333333333E-2</v>
      </c>
      <c r="P72" s="18">
        <f t="shared" si="1"/>
        <v>3.3333333333333333E-2</v>
      </c>
      <c r="Q72" s="18">
        <f t="shared" si="1"/>
        <v>3.3333333333333333E-2</v>
      </c>
      <c r="R72" s="18">
        <f t="shared" si="1"/>
        <v>3.3333333333333333E-2</v>
      </c>
      <c r="S72" s="18">
        <f t="shared" si="1"/>
        <v>3.3333333333333333E-2</v>
      </c>
      <c r="T72" s="18">
        <f t="shared" si="1"/>
        <v>3.3333333333333333E-2</v>
      </c>
      <c r="U72" s="18">
        <f t="shared" si="1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AVERAGE(Table1[[#This Row],[Autumn Week 1]:[Spring Exams]])*4*Table1[[#This Row],[Credits]]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AVERAGE(Table1[[#This Row],[Autumn Week 1]:[Spring Exams]])*4*Table1[[#This Row],[Credits]]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AVERAGE(Table1[[#This Row],[Autumn Week 1]:[Spring Exams]])*4*Table1[[#This Row],[Credits]]</f>
        <v>-4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AVERAGE(Table1[[#This Row],[Autumn Week 1]:[Spring Exams]])*4*Table1[[#This Row],[Credits]]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AVERAGE(Table1[[#This Row],[Autumn Week 1]:[Spring Exams]])*4*Table1[[#This Row],[Credits]]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AVERAGE(Table1[[#This Row],[Autumn Week 1]:[Spring Exams]])*4*Table1[[#This Row],[Credits]]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AVERAGE(Table1[[#This Row],[Autumn Week 1]:[Spring Exams]])*4*Table1[[#This Row],[Credits]]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AVERAGE(Table1[[#This Row],[Autumn Week 1]:[Spring Exams]])*4*Table1[[#This Row],[Credits]]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AVERAGE(Table1[[#This Row],[Autumn Week 1]:[Spring Exams]])*4*Table1[[#This Row],[Credits]]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AVERAGE(Table1[[#This Row],[Autumn Week 1]:[Spring Exams]])*4*Table1[[#This Row],[Credits]]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AVERAGE(Table1[[#This Row],[Autumn Week 1]:[Spring Exams]])*4*Table1[[#This Row],[Credits]]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AVERAGE(Table1[[#This Row],[Autumn Week 1]:[Spring Exams]])*4*Table1[[#This Row],[Credits]]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AVERAGE(Table1[[#This Row],[Autumn Week 1]:[Spring Exams]])*4*Table1[[#This Row],[Credits]]</f>
        <v>0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0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AVERAGE(Table1[[#This Row],[Autumn Week 1]:[Spring Exams]])*4*Table1[[#This Row],[Credits]]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AVERAGE(Table1[[#This Row],[Autumn Week 1]:[Spring Exams]])*4*Table1[[#This Row],[Credits]]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AVERAGE(Table1[[#This Row],[Autumn Week 1]:[Spring Exams]])*4*Table1[[#This Row],[Credits]]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AVERAGE(Table1[[#This Row],[Autumn Week 1]:[Spring Exams]])*4*Table1[[#This Row],[Credits]]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AVERAGE(Table1[[#This Row],[Autumn Week 1]:[Spring Exams]])*4*Table1[[#This Row],[Credits]]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AVERAGE(Table1[[#This Row],[Autumn Week 1]:[Spring Exams]])*4*Table1[[#This Row],[Credits]]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AVERAGE(Table1[[#This Row],[Autumn Week 1]:[Spring Exams]])*4*Table1[[#This Row],[Credits]]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AVERAGE(Table1[[#This Row],[Autumn Week 1]:[Spring Exams]])*4*Table1[[#This Row],[Credits]]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AVERAGE(Table1[[#This Row],[Autumn Week 1]:[Spring Exams]])*4*Table1[[#This Row],[Credits]]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AVERAGE(Table1[[#This Row],[Autumn Week 1]:[Spring Exams]])*4*Table1[[#This Row],[Credits]]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AVERAGE(Table1[[#This Row],[Autumn Week 1]:[Spring Exams]])*4*Table1[[#This Row],[Credits]]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AVERAGE(Table1[[#This Row],[Autumn Week 1]:[Spring Exams]])*4*Table1[[#This Row],[Credits]]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AVERAGE(Table1[[#This Row],[Autumn Week 1]:[Spring Exams]])*4*Table1[[#This Row],[Credits]]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AVERAGE(Table1[[#This Row],[Autumn Week 1]:[Spring Exams]])*4*Table1[[#This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AVERAGE(Table1[[#This Row],[Autumn Week 1]:[Spring Exams]])*4*Table1[[#This Row],[Credits]]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AVERAGE(Table1[[#This Row],[Autumn Week 1]:[Spring Exams]])*4*Table1[[#This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AVERAGE(Table1[[#This Row],[Autumn Week 1]:[Spring Exams]])*4*Table1[[#This Row],[Credits]]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AVERAGE(Table1[[#This Row],[Autumn Week 1]:[Spring Exams]])*4*Table1[[#This Row],[Credits]]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AVERAGE(Table1[[#This Row],[Autumn Week 1]:[Spring Exams]])*4*Table1[[#This Row],[Credits]]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AVERAGE(Table1[[#This Row],[Autumn Week 1]:[Spring Exams]])*4*Table1[[#This Row],[Credits]]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AVERAGE(Table1[[#This Row],[Autumn Week 1]:[Spring Exams]])*4*Table1[[#This Row],[Credits]]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AVERAGE(Table1[[#This Row],[Autumn Week 1]:[Spring Exams]])*4*Table1[[#This Row],[Credits]]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AVERAGE(Table1[[#This Row],[Autumn Week 1]:[Spring Exams]])*4*Table1[[#This Row],[Credits]]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AVERAGE(Table1[[#This Row],[Autumn Week 1]:[Spring Exams]])*4*Table1[[#This Row],[Credits]]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AVERAGE(Table1[[#This Row],[Autumn Week 1]:[Spring Exams]])*4*Table1[[#This Row],[Credits]]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>
        <v>0.4</v>
      </c>
      <c r="AI114" s="20"/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AVERAGE(Table1[[#This Row],[Autumn Week 1]:[Spring Exams]])*4*Table1[[#This Row],[Credits]]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AVERAGE(Table1[[#This Row],[Autumn Week 1]:[Spring Exams]])*4*Table1[[#This Row],[Credits]]</f>
        <v>0.4</v>
      </c>
      <c r="K116" s="11">
        <v>0.5</v>
      </c>
      <c r="L116" s="18"/>
      <c r="M116" s="18"/>
      <c r="N116" s="18"/>
      <c r="O116" s="18">
        <f t="shared" ref="O116:V116" si="2">0.1/10</f>
        <v>0.01</v>
      </c>
      <c r="P116" s="18">
        <f t="shared" si="2"/>
        <v>0.01</v>
      </c>
      <c r="Q116" s="18">
        <f t="shared" si="2"/>
        <v>0.01</v>
      </c>
      <c r="R116" s="18">
        <f t="shared" si="2"/>
        <v>0.01</v>
      </c>
      <c r="S116" s="18">
        <f t="shared" si="2"/>
        <v>0.01</v>
      </c>
      <c r="T116" s="18">
        <f t="shared" si="2"/>
        <v>0.01</v>
      </c>
      <c r="U116" s="18">
        <f t="shared" si="2"/>
        <v>0.01</v>
      </c>
      <c r="V116" s="18">
        <f t="shared" si="2"/>
        <v>0.01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0.08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AVERAGE(Table1[[#This Row],[Autumn Week 1]:[Spring Exams]])*4*Table1[[#This Row],[Credits]]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AVERAGE(Table1[[#This Row],[Autumn Week 1]:[Spring Exams]])*4*Table1[[#This Row],[Credits]]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AVERAGE(Table1[[#This Row],[Autumn Week 1]:[Spring Exams]])*4*Table1[[#This Row],[Credits]]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AVERAGE(Table1[[#This Row],[Autumn Week 1]:[Spring Exams]])*4*Table1[[#This Row],[Credits]]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AVERAGE(Table1[[#This Row],[Autumn Week 1]:[Spring Exams]])*4*Table1[[#This Row],[Credits]]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AVERAGE(Table1[[#This Row],[Autumn Week 1]:[Spring Exams]])*4*Table1[[#This Row],[Credits]]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AVERAGE(Table1[[#This Row],[Autumn Week 1]:[Spring Exams]])*4*Table1[[#This Row],[Credits]]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AVERAGE(Table1[[#This Row],[Autumn Week 1]:[Spring Exams]])*4*Table1[[#This Row],[Credits]]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AVERAGE(Table1[[#This Row],[Autumn Week 1]:[Spring Exams]])*4*Table1[[#This Row],[Credits]]</f>
        <v>0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0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AVERAGE(Table1[[#This Row],[Autumn Week 1]:[Spring Exams]])*4*Table1[[#This Row],[Credits]]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AVERAGE(Table1[[#This Row],[Autumn Week 1]:[Spring Exams]])*4*Table1[[#This Row],[Credits]]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AVERAGE(Table1[[#This Row],[Autumn Week 1]:[Spring Exams]])*4*Table1[[#This Row],[Credits]]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AVERAGE(Table1[[#This Row],[Autumn Week 1]:[Spring Exams]])*4*Table1[[#This Row],[Credits]]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AVERAGE(Table1[[#This Row],[Autumn Week 1]:[Spring Exams]])*4*Table1[[#This Row],[Credits]]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AVERAGE(Table1[[#This Row],[Autumn Week 1]:[Spring Exams]])*4*Table1[[#This Row],[Credits]]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AVERAGE(Table1[[#This Row],[Autumn Week 1]:[Spring Exams]])*4*Table1[[#This Row],[Credits]]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AVERAGE(Table1[[#This Row],[Autumn Week 1]:[Spring Exams]])*4*Table1[[#This Row],[Credits]]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AVERAGE(Table1[[#This Row],[Autumn Week 1]:[Spring Exams]])*4*Table1[[#This Row],[Credits]]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AVERAGE(Table1[[#This Row],[Autumn Week 1]:[Spring Exams]])*4*Table1[[#This Row],[Credits]]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AVERAGE(Table1[[#This Row],[Autumn Week 1]:[Spring Exams]])*4*Table1[[#This Row],[Credits]]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AVERAGE(Table1[[#This Row],[Autumn Week 1]:[Spring Exams]])*4*Table1[[#This Row],[Credits]]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AVERAGE(Table1[[#This Row],[Autumn Week 1]:[Spring Exams]])*4*Table1[[#This Row],[Credits]]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AVERAGE(Table1[[#This Row],[Autumn Week 1]:[Spring Exams]])*4*Table1[[#This Row],[Credits]]</f>
        <v>0.3636363636363637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f>0.1/11</f>
        <v>9.0909090909090922E-3</v>
      </c>
      <c r="Y139" s="20">
        <f t="shared" ref="Y139:AH139" si="3">0.1/11</f>
        <v>9.0909090909090922E-3</v>
      </c>
      <c r="Z139" s="20">
        <f t="shared" si="3"/>
        <v>9.0909090909090922E-3</v>
      </c>
      <c r="AA139" s="20">
        <f t="shared" si="3"/>
        <v>9.0909090909090922E-3</v>
      </c>
      <c r="AB139" s="20">
        <f t="shared" si="3"/>
        <v>9.0909090909090922E-3</v>
      </c>
      <c r="AC139" s="20">
        <f t="shared" si="3"/>
        <v>9.0909090909090922E-3</v>
      </c>
      <c r="AD139" s="20">
        <f t="shared" si="3"/>
        <v>9.0909090909090922E-3</v>
      </c>
      <c r="AE139" s="20">
        <f t="shared" si="3"/>
        <v>9.0909090909090922E-3</v>
      </c>
      <c r="AF139" s="20">
        <f t="shared" si="3"/>
        <v>9.0909090909090922E-3</v>
      </c>
      <c r="AG139" s="20">
        <f t="shared" si="3"/>
        <v>9.0909090909090922E-3</v>
      </c>
      <c r="AH139" s="20">
        <f t="shared" si="3"/>
        <v>9.0909090909090922E-3</v>
      </c>
      <c r="AI139" s="20"/>
      <c r="AJ139" s="20"/>
      <c r="AK139" s="27">
        <f>SUMIF(Table1[[#This Row],[Autumn Week 1]:[Spring Week 12]],"&gt;0",Table1[[#This Row],[Autumn Week 1]:[Spring Week 12]])</f>
        <v>0.10000000000000002</v>
      </c>
      <c r="AL139" s="27">
        <f>IF(Table1[[#This Row],[Hours]]&gt;0,Table1[[#This Row],[Hours]],Table1[[#This Row],[Nominal Hours]])*COUNTIF(Table1[[#This Row],[Autumn Week 1]:[Spring Week 12]],"&gt;0")</f>
        <v>5.5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AVERAGE(Table1[[#This Row],[Autumn Week 1]:[Spring Exams]])*4*Table1[[#This Row],[Credits]]</f>
        <v>2.6666666666666665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5.333333333333333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AVERAGE(Table1[[#This Row],[Autumn Week 1]:[Spring Exams]])*4*Table1[[#This Row],[Credits]]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AVERAGE(Table1[[#This Row],[Autumn Week 1]:[Spring Exams]])*4*Table1[[#This Row],[Credits]]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AVERAGE(Table1[[#This Row],[Autumn Week 1]:[Spring Exams]])*4*Table1[[#This Row],[Credits]]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AVERAGE(Table1[[#This Row],[Autumn Week 1]:[Spring Exams]])*4*Table1[[#This Row],[Credits]]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AVERAGE(Table1[[#This Row],[Autumn Week 1]:[Spring Exams]])*4*Table1[[#This Row],[Credits]]</f>
        <v>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>
        <v>0.2</v>
      </c>
      <c r="AD145" s="20"/>
      <c r="AE145" s="20">
        <v>-0.2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0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AVERAGE(Table1[[#This Row],[Autumn Week 1]:[Spring Exams]])*4*Table1[[#This Row],[Credits]]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AVERAGE(Table1[[#This Row],[Autumn Week 1]:[Spring Exams]])*4*Table1[[#This Row],[Credits]]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AVERAGE(Table1[[#This Row],[Autumn Week 1]:[Spring Exams]])*4*Table1[[#This Row],[Credits]]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AVERAGE(Table1[[#This Row],[Autumn Week 1]:[Spring Exams]])*4*Table1[[#This Row],[Credits]]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AVERAGE(Table1[[#This Row],[Autumn Week 1]:[Spring Exams]])*4*Table1[[#This Row],[Credits]]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AVERAGE(Table1[[#This Row],[Autumn Week 1]:[Spring Exams]])*4*Table1[[#This Row],[Credits]]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AVERAGE(Table1[[#This Row],[Autumn Week 1]:[Spring Exams]])*4*Table1[[#This Row],[Credits]]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AVERAGE(Table1[[#This Row],[Autumn Week 1]:[Spring Exams]])*4*Table1[[#This Row],[Credits]]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AVERAGE(Table1[[#This Row],[Autumn Week 1]:[Spring Exams]])*4*Table1[[#This Row],[Credits]]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AVERAGE(Table1[[#This Row],[Autumn Week 1]:[Spring Exams]])*4*Table1[[#This Row],[Credits]]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AVERAGE(Table1[[#This Row],[Autumn Week 1]:[Spring Exams]])*4*Table1[[#This Row],[Credits]]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AVERAGE(Table1[[#This Row],[Autumn Week 1]:[Spring Exams]])*4*Table1[[#This Row],[Credits]]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AVERAGE(Table1[[#This Row],[Autumn Week 1]:[Spring Exams]])*4*Table1[[#This Row],[Credits]]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AVERAGE(Table1[[#This Row],[Autumn Week 1]:[Spring Exams]])*4*Table1[[#This Row],[Credits]]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AVERAGE(Table1[[#This Row],[Autumn Week 1]:[Spring Exams]])*4*Table1[[#This Row],[Credits]]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AVERAGE(Table1[[#This Row],[Autumn Week 1]:[Spring Exams]])*4*Table1[[#This Row],[Credits]]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AVERAGE(Table1[[#This Row],[Autumn Week 1]:[Spring Exams]])*4*Table1[[#This Row],[Credits]]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AVERAGE(Table1[[#This Row],[Autumn Week 1]:[Spring Exams]])*4*Table1[[#This Row],[Credits]]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AVERAGE(Table1[[#This Row],[Autumn Week 1]:[Spring Exams]])*4*Table1[[#This Row],[Credits]]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AVERAGE(Table1[[#This Row],[Autumn Week 1]:[Spring Exams]])*4*Table1[[#This Row],[Credits]]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AVERAGE(Table1[[#This Row],[Autumn Week 1]:[Spring Exams]])*4*Table1[[#This Row],[Credits]]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AVERAGE(Table1[[#This Row],[Autumn Week 1]:[Spring Exams]])*4*Table1[[#This Row],[Credits]]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AVERAGE(Table1[[#This Row],[Autumn Week 1]:[Spring Exams]])*4*Table1[[#This Row],[Credits]]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AVERAGE(Table1[[#This Row],[Autumn Week 1]:[Spring Exams]])*4*Table1[[#This Row],[Credits]]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AVERAGE(Table1[[#This Row],[Autumn Week 1]:[Spring Exams]])*4*Table1[[#This Row],[Credits]]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AVERAGE(Table1[[#This Row],[Autumn Week 1]:[Spring Exams]])*4*Table1[[#This Row],[Credits]]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AVERAGE(Table1[[#This Row],[Autumn Week 1]:[Spring Exams]])*4*Table1[[#This Row],[Credits]]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AVERAGE(Table1[[#This Row],[Autumn Week 1]:[Spring Exams]])*4*Table1[[#This Row],[Credits]]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AVERAGE(Table1[[#This Row],[Autumn Week 1]:[Spring Exams]])*4*Table1[[#This Row],[Credits]]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AVERAGE(Table1[[#This Row],[Autumn Week 1]:[Spring Exams]])*4*Table1[[#This Row],[Credits]]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AVERAGE(Table1[[#This Row],[Autumn Week 1]:[Spring Exams]])*4*Table1[[#This Row],[Credits]]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AVERAGE(Table1[[#This Row],[Autumn Week 1]:[Spring Exams]])*4*Table1[[#This Row],[Credits]]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AVERAGE(Table1[[#This Row],[Autumn Week 1]:[Spring Exams]])*4*Table1[[#This Row],[Credits]]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AVERAGE(Table1[[#This Row],[Autumn Week 1]:[Spring Exams]])*4*Table1[[#This Row],[Credits]]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AVERAGE(Table1[[#This Row],[Autumn Week 1]:[Spring Exams]])*4*Table1[[#This Row],[Credits]]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AVERAGE(Table1[[#This Row],[Autumn Week 1]:[Spring Exams]])*4*Table1[[#This Row],[Credits]]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28.000000000000004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28.000000000000004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4</v>
      </c>
      <c r="D50">
        <f>INDEX(Table14[Total],MATCH(Sheet2!A50,Table14[Module Code],0))</f>
        <v>22</v>
      </c>
      <c r="E50">
        <f t="shared" si="0"/>
        <v>26</v>
      </c>
      <c r="F50">
        <f t="shared" si="1"/>
        <v>2.6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26</v>
      </c>
      <c r="D55">
        <f>INDEX(Table14[Total],MATCH(Sheet2!A55,Table14[Module Code],0))</f>
        <v>22</v>
      </c>
      <c r="E55">
        <f t="shared" si="0"/>
        <v>48</v>
      </c>
      <c r="F55">
        <f t="shared" si="1"/>
        <v>4.8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2026-04-16T16:03:18Z</dcterms:modified>
</cp:coreProperties>
</file>