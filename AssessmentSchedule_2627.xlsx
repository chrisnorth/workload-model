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28" documentId="8_{F30C7968-F540-46E6-A81C-665FBDA0D3DA}" xr6:coauthVersionLast="47" xr6:coauthVersionMax="47" xr10:uidLastSave="{5C271CFC-A94B-4760-B8F3-68A74A2BE097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AK75" i="1" l="1"/>
  <c r="E75" i="1"/>
  <c r="AL75" i="1" s="1"/>
  <c r="D75" i="1"/>
  <c r="AK84" i="1"/>
  <c r="E84" i="1"/>
  <c r="AL84" i="1" s="1"/>
  <c r="D84" i="1"/>
  <c r="E146" i="1"/>
  <c r="AL146" i="1" s="1"/>
  <c r="D146" i="1"/>
  <c r="AK146" i="1"/>
  <c r="E53" i="1"/>
  <c r="D53" i="1"/>
  <c r="E52" i="1"/>
  <c r="D52" i="1"/>
  <c r="E51" i="1"/>
  <c r="D51" i="1"/>
  <c r="E37" i="1"/>
  <c r="D37" i="1"/>
  <c r="E30" i="1"/>
  <c r="D30" i="1"/>
  <c r="E19" i="1"/>
  <c r="D19" i="1"/>
  <c r="E15" i="1"/>
  <c r="D15" i="1"/>
  <c r="E12" i="1"/>
  <c r="D12" i="1"/>
  <c r="E5" i="1"/>
  <c r="D5" i="1"/>
  <c r="AL24" i="1"/>
  <c r="AK24" i="1"/>
  <c r="E24" i="1"/>
  <c r="D24" i="1"/>
  <c r="AL25" i="1"/>
  <c r="AK25" i="1"/>
  <c r="E25" i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AL78" i="1" l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E124" i="1"/>
  <c r="E125" i="1"/>
  <c r="E126" i="1"/>
  <c r="E127" i="1"/>
  <c r="E128" i="1"/>
  <c r="E129" i="1"/>
  <c r="E130" i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21" i="1"/>
  <c r="E120" i="1"/>
  <c r="E119" i="1"/>
  <c r="E118" i="1"/>
  <c r="E117" i="1"/>
  <c r="E116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99" i="1"/>
  <c r="E98" i="1"/>
  <c r="E97" i="1"/>
  <c r="E96" i="1"/>
  <c r="E94" i="1"/>
  <c r="E93" i="1"/>
  <c r="E92" i="1"/>
  <c r="E91" i="1"/>
  <c r="E90" i="1"/>
  <c r="E89" i="1"/>
  <c r="E88" i="1"/>
  <c r="E87" i="1"/>
  <c r="E86" i="1"/>
  <c r="E85" i="1"/>
  <c r="E83" i="1"/>
  <c r="E82" i="1"/>
  <c r="E81" i="1"/>
  <c r="E80" i="1"/>
  <c r="E79" i="1"/>
  <c r="E77" i="1"/>
  <c r="E76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0" i="1"/>
  <c r="E49" i="1"/>
  <c r="E48" i="1"/>
  <c r="E47" i="1"/>
  <c r="E46" i="1"/>
  <c r="E45" i="1"/>
  <c r="E44" i="1"/>
  <c r="E43" i="1"/>
  <c r="E38" i="1"/>
  <c r="E36" i="1"/>
  <c r="E35" i="1"/>
  <c r="E34" i="1"/>
  <c r="E33" i="1"/>
  <c r="E32" i="1"/>
  <c r="E31" i="1"/>
  <c r="E29" i="1"/>
  <c r="E28" i="1"/>
  <c r="E42" i="1"/>
  <c r="E41" i="1"/>
  <c r="E40" i="1"/>
  <c r="E39" i="1"/>
  <c r="E27" i="1"/>
  <c r="E26" i="1"/>
  <c r="E23" i="1"/>
  <c r="E22" i="1"/>
  <c r="E21" i="1"/>
  <c r="E20" i="1"/>
  <c r="E18" i="1"/>
  <c r="E17" i="1"/>
  <c r="E16" i="1"/>
  <c r="E14" i="1"/>
  <c r="E13" i="1"/>
  <c r="E11" i="1"/>
  <c r="E10" i="1"/>
  <c r="E9" i="1"/>
  <c r="E8" i="1"/>
  <c r="E7" i="1"/>
  <c r="E6" i="1"/>
  <c r="E4" i="1"/>
  <c r="E3" i="1"/>
  <c r="E2" i="1"/>
  <c r="W94" i="2"/>
  <c r="L150" i="1"/>
  <c r="AL154" i="1"/>
  <c r="AL156" i="1"/>
  <c r="AL179" i="1" l="1"/>
  <c r="AL172" i="1"/>
  <c r="AL167" i="1"/>
  <c r="AL173" i="1"/>
  <c r="AL181" i="1"/>
  <c r="AL100" i="1"/>
  <c r="AL171" i="1"/>
  <c r="AL166" i="1"/>
  <c r="AL180" i="1"/>
  <c r="AL95" i="1"/>
  <c r="AL162" i="1"/>
  <c r="AL168" i="1"/>
  <c r="AL174" i="1"/>
  <c r="AL182" i="1"/>
  <c r="AL101" i="1"/>
  <c r="AL164" i="1"/>
  <c r="AL169" i="1"/>
  <c r="AL176" i="1"/>
  <c r="AK110" i="1"/>
  <c r="AL115" i="1"/>
  <c r="AL155" i="1"/>
  <c r="AL163" i="1"/>
  <c r="AL175" i="1"/>
  <c r="AL114" i="1"/>
  <c r="AL124" i="1"/>
  <c r="AK150" i="1"/>
  <c r="AL157" i="1"/>
  <c r="AL177" i="1"/>
  <c r="AL122" i="1"/>
  <c r="AL165" i="1"/>
  <c r="AL170" i="1"/>
  <c r="AL178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AK116" i="1" l="1"/>
  <c r="AL117" i="1"/>
  <c r="AL21" i="1" l="1"/>
  <c r="AL2" i="1"/>
  <c r="AL161" i="1"/>
  <c r="AK7" i="1" l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AK139" i="1" l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<sst xmlns="http://schemas.openxmlformats.org/spreadsheetml/2006/main" count="2907" uniqueCount="390">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</sst>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0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8"/>
    <tableColumn id="4" xr3:uid="{04E38F13-8347-412C-866C-6EFE6796253C}" name="Autumn Week 1" dataDxfId="97"/>
    <tableColumn id="5" xr3:uid="{254D6A24-FC1B-44C7-A3DF-52DA2A250D31}" name="Autumn Week 2" dataDxfId="96"/>
    <tableColumn id="6" xr3:uid="{9EB326C3-772E-4E56-89FB-BA3A00291293}" name="Autumn Week 3" dataDxfId="95"/>
    <tableColumn id="7" xr3:uid="{94BC6C78-5A89-4267-B1C1-BFA70E5A9F34}" name="Autumn Week 4" dataDxfId="94"/>
    <tableColumn id="8" xr3:uid="{CF3B6389-B559-4FE3-8B33-FEDB303382B1}" name="Autumn Week 5" dataDxfId="93"/>
    <tableColumn id="9" xr3:uid="{8DD80B9C-D1B1-4CDE-A624-4CD3A15113DD}" name="Autumn Week 6" dataDxfId="92"/>
    <tableColumn id="10" xr3:uid="{8C4EBEE4-01CB-4AD0-B594-F466CC36D370}" name="Autumn Week 7" dataDxfId="91"/>
    <tableColumn id="11" xr3:uid="{7F8C91DE-BE61-47CF-A916-D06ED7B283E9}" name="Autumn Week 8" dataDxfId="90"/>
    <tableColumn id="12" xr3:uid="{9D58139A-0F96-4203-8D22-58BC34744B87}" name="Autumn Week 9" dataDxfId="89"/>
    <tableColumn id="13" xr3:uid="{43C545DF-9B9E-4080-8012-F9EFA0F01283}" name="Autumn Week 10" dataDxfId="88"/>
    <tableColumn id="14" xr3:uid="{829AB976-2AB2-435C-8F11-DE08DACA4407}" name="Autumn Week 11" dataDxfId="87"/>
    <tableColumn id="15" xr3:uid="{9126A0EA-FC34-4876-9D56-A0AC39C5526C}" name="Autumn Week 12" dataDxfId="86"/>
    <tableColumn id="17" xr3:uid="{15B891EE-FCC8-4E53-A90D-3E10FFC1E9FA}" name="Spring Week 1" dataDxfId="85"/>
    <tableColumn id="18" xr3:uid="{464CA212-3B53-4678-AFE4-8AF8308C1986}" name="Spring Week 2" dataDxfId="84"/>
    <tableColumn id="19" xr3:uid="{B560E823-CC29-418C-B26C-52D9FFC8C72E}" name="Spring Week 3" dataDxfId="83"/>
    <tableColumn id="20" xr3:uid="{D95606F3-E0A0-4907-91E0-4AD09D0C65CB}" name="Spring Week 4" dataDxfId="82"/>
    <tableColumn id="21" xr3:uid="{E71FF892-9A4B-444C-8972-62D92F81B0E7}" name="Spring Week 5" dataDxfId="81"/>
    <tableColumn id="22" xr3:uid="{C7775BA8-178A-4501-A8DE-2B2CF77A2451}" name="Spring Week 6" dataDxfId="80"/>
    <tableColumn id="23" xr3:uid="{51A89A97-F839-4F50-88A9-65049D65C9B0}" name="Spring Week 7" dataDxfId="79"/>
    <tableColumn id="24" xr3:uid="{26EE6D10-4FC4-49AE-8DE6-18AC556C293D}" name="Spring Week 8" dataDxfId="78"/>
    <tableColumn id="25" xr3:uid="{FCB1B9FB-21DA-415A-86E6-C8E14F864E1B}" name="Spring Week 9" dataDxfId="77"/>
    <tableColumn id="26" xr3:uid="{54402AE1-DC77-41BA-BCC7-28BCA7186B44}" name="Spring Week 10" dataDxfId="76"/>
    <tableColumn id="27" xr3:uid="{31C092D1-BD77-4126-8E72-8E74D0D11509}" name="Spring Week 11" dataDxfId="75"/>
    <tableColumn id="28" xr3:uid="{56D67770-E36A-46FE-97FA-76CD24229C51}" name="Spring Week 12" dataDxfId="74"/>
    <tableColumn id="38" xr3:uid="{29E08DCE-0D92-40C5-8F33-F1B96FB2F7A4}" name="Spring Exams" dataDxfId="73"/>
    <tableColumn id="29" xr3:uid="{785AD842-5ED0-4E27-B4B7-26E6FF9AC266}" name="Sub-total" dataDxfId="72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1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0" dataDxfId="68" headerRowBorderDxfId="69" tableBorderDxfId="67" totalsRowBorderDxfId="66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5"/>
    <tableColumn id="2" xr3:uid="{DE2920B2-70AC-48F3-99E7-07B70BC1E928}" name="Module Title" dataDxfId="64"/>
    <tableColumn id="3" xr3:uid="{61946E7A-4C82-425B-89A6-3DBD530FCD55}" name="Contact type" dataDxfId="63"/>
    <tableColumn id="34" xr3:uid="{55A68E2B-9324-4E9E-9629-6611EC7C904E}" name="Credits" dataDxfId="62">
      <calculatedColumnFormula>INDEX(Table2[Credits],MATCH(Table14[[#This Row],[Module Code]],Table2[Module Code],0))</calculatedColumnFormula>
    </tableColumn>
    <tableColumn id="30" xr3:uid="{9C4C2C35-CE5A-4469-93FA-21FC6F57EDAD}" name="Semester" dataDxfId="61">
      <calculatedColumnFormula>INDEX(Table2[Semester],MATCH(Table14[[#This Row],[Module Code]],Table2[Module Code],0))</calculatedColumnFormula>
    </tableColumn>
    <tableColumn id="31" xr3:uid="{A7B09E14-0C35-459D-A9D0-5143D8AFFE4E}" name="Nominal Hours" dataDxfId="60">
      <calculatedColumnFormula>INDEX(Table2[Contact Time],MATCH(Table14[[#This Row],[Module Code]],Table2[Module Code],0))</calculatedColumnFormula>
    </tableColumn>
    <tableColumn id="4" xr3:uid="{503822B3-8862-4FCD-9DD3-3B52F57A97BE}" name="Autumn Week 1" dataDxfId="59"/>
    <tableColumn id="5" xr3:uid="{760391D0-3219-4B11-8E3D-3E00EEDFA9DD}" name="Autumn Week 2" dataDxfId="58"/>
    <tableColumn id="6" xr3:uid="{6EE5E3E9-C4FB-49BE-932C-B84EA0A7970D}" name="Autumn Week 3" dataDxfId="57"/>
    <tableColumn id="7" xr3:uid="{2C7AD515-480E-49A6-8076-95205ACF95EC}" name="Autumn Week 4" dataDxfId="56"/>
    <tableColumn id="8" xr3:uid="{6FD8C5C6-433E-493B-BB28-5ADD15CFC7FB}" name="Autumn Week 5" dataDxfId="55"/>
    <tableColumn id="9" xr3:uid="{801E6BE2-75F8-40A5-A263-0AAEFDAA63E7}" name="Autumn Week 6" dataDxfId="54"/>
    <tableColumn id="10" xr3:uid="{976D463A-C6BC-4636-B732-53E6CDF3F6C7}" name="Autumn Week 7" dataDxfId="53"/>
    <tableColumn id="11" xr3:uid="{D025F987-6302-4D7B-9A9A-636F867D1872}" name="Autumn Week 8" dataDxfId="52"/>
    <tableColumn id="12" xr3:uid="{D30D10EE-2DE5-4659-AA67-2134D11D6119}" name="Autumn Week 9" dataDxfId="51"/>
    <tableColumn id="13" xr3:uid="{35E8F713-2D13-47B7-9811-293DA89F0D62}" name="Autumn Week 10" dataDxfId="50"/>
    <tableColumn id="14" xr3:uid="{5DD48606-F817-4B30-8BA1-A96457CBB489}" name="Autumn Week 11" dataDxfId="49"/>
    <tableColumn id="15" xr3:uid="{9B982ED1-A4C5-4E87-99AB-70713F2B634E}" name="Autumn Week 12" dataDxfId="48"/>
    <tableColumn id="17" xr3:uid="{3AFDFF11-D351-428A-AC16-E674EB9DD7CC}" name="Spring Week 1" dataDxfId="47"/>
    <tableColumn id="18" xr3:uid="{1431E9F9-328E-4229-9377-39D94C660D67}" name="Spring Week 2" dataDxfId="46"/>
    <tableColumn id="19" xr3:uid="{8E1051DB-2A93-4ABA-8317-8F9921CF483D}" name="Spring Week 3" dataDxfId="45"/>
    <tableColumn id="20" xr3:uid="{98B745E4-C481-42FF-9D3B-0D0899BD3DB6}" name="Spring Week 4" dataDxfId="44"/>
    <tableColumn id="21" xr3:uid="{2FC9B562-4622-444D-9372-5637BFE48E0A}" name="Spring Week 5" dataDxfId="43"/>
    <tableColumn id="22" xr3:uid="{95778D77-82F1-4B00-8FED-6FEB2BF83C3D}" name="Spring Week 6" dataDxfId="42"/>
    <tableColumn id="23" xr3:uid="{9A49A64C-9A09-47A0-BC65-A8C1C98DACA3}" name="Spring Week 7" dataDxfId="41"/>
    <tableColumn id="24" xr3:uid="{191AACBA-3CF0-48E5-B522-FCD2CCE9AC99}" name="Spring Week 8" dataDxfId="40"/>
    <tableColumn id="25" xr3:uid="{DC35B6C1-904B-4E6A-A04F-ADF850A50D85}" name="Spring Week 9" dataDxfId="39"/>
    <tableColumn id="26" xr3:uid="{BEB9E86A-57BF-4A1E-A499-BADB9EAD1DE9}" name="Spring Week 10" dataDxfId="38"/>
    <tableColumn id="27" xr3:uid="{D640FB81-F093-4E3F-B7A1-6995DDDD6305}" name="Spring Week 11" dataDxfId="37"/>
    <tableColumn id="28" xr3:uid="{496FDC17-F0F2-4381-96DA-177DC578A786}" name="Spring Week 12" dataDxfId="36"/>
    <tableColumn id="32" xr3:uid="{65BCC67A-5DC9-4957-BB42-BCF5FCA71B17}" name="Total" dataDxfId="35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4" dataDxfId="32" headerRowBorderDxfId="33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1"/>
    <tableColumn id="2" xr3:uid="{D3F20037-EF35-4207-A530-484E1EB45719}" name="Module Title" dataDxfId="30"/>
    <tableColumn id="9" xr3:uid="{40C22022-10B9-411F-9B76-B89140ABFFB2}" name="Alternative Module Code" dataDxfId="29"/>
    <tableColumn id="13" xr3:uid="{CB12E405-1802-457C-AF17-F1B9CB3BBF13}" name="Source" dataDxfId="28"/>
    <tableColumn id="8" xr3:uid="{EA737976-1AA7-49B6-8752-A388621554F4}" name="Semester" dataDxfId="27"/>
    <tableColumn id="6" xr3:uid="{16DFC84F-5858-467D-B447-49992D721E4B}" name="Level" dataDxfId="26"/>
    <tableColumn id="5" xr3:uid="{A17BC4BA-A3CB-442D-9BDC-D3B41B98B389}" name="Credits" dataDxfId="25"/>
    <tableColumn id="19" xr3:uid="{98846C13-E462-4CFF-858E-AF75931B6712}" name="AllUG" dataDxfId="24"/>
    <tableColumn id="3" xr3:uid="{7E25B4F4-1A7D-48D9-AAA2-AF5C97240797}" name="Physics" dataDxfId="23"/>
    <tableColumn id="17" xr3:uid="{AA3AE96F-2651-49D7-89AD-BA94806438AE}" name="PhysAstro"/>
    <tableColumn id="4" xr3:uid="{9C7DD469-E550-411F-8467-246A1543FB38}" name="Astro" dataDxfId="22"/>
    <tableColumn id="7" xr3:uid="{3C5D3AEB-487E-4678-A42F-BE4BA4D0E9AA}" name="MedPhys" dataDxfId="21"/>
    <tableColumn id="20" xr3:uid="{C3673B06-C0A2-44F6-8978-F392282CECF8}" name="AllPG"/>
    <tableColumn id="14" xr3:uid="{AE552873-9B31-41A6-B73C-D052477CA74C}" name="MScPhysics" dataDxfId="20"/>
    <tableColumn id="15" xr3:uid="{8F51CE76-3A29-487A-A13C-FB63C79CF3E6}" name="MScAstro" dataDxfId="19"/>
    <tableColumn id="21" xr3:uid="{FC74E264-78AB-4682-A1B8-D8964ED1C3F3}" name="MScDataPhys" dataDxfId="18"/>
    <tableColumn id="22" xr3:uid="{2D5776F7-D7F7-4D20-A7CB-DB57997AD074}" name="MScDataAstro" dataDxfId="17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6"/>
    <tableColumn id="12" xr3:uid="{537B7C75-E9C0-42F2-9F3C-6E960AB2D257}" name="CA weight" dataDxfId="15">
      <calculatedColumnFormula>100-Table2[[#This Row],[Exam Weight (%)]]</calculatedColumnFormula>
    </tableColumn>
    <tableColumn id="11" xr3:uid="{75DA2527-5A08-4ECE-B4E4-752A8F8BF059}" name="CA Check" dataDxfId="14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H15" activePane="bottomRight" state="frozen"/>
      <selection pane="topRight" activeCell="C1" sqref="C1"/>
      <selection pane="bottomLeft" activeCell="A2" sqref="A2"/>
      <selection pane="bottomRight" activeCell="R30" sqref="R30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8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IFERROR(AVERAGEIF(Table1[[#This Row],[Autumn Week 1]:[Spring Exams]],"&gt;0",Table1[[#This Row],[Autumn Week 1]:[Spring Exams]])*4*Table1[[#This Row],[Credits]],0)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IFERROR(AVERAGEIF(Table1[[#This Row],[Autumn Week 1]:[Spring Exams]],"&gt;0",Table1[[#This Row],[Autumn Week 1]:[Spring Exams]])*4*Table1[[#This Row],[Credits]],0)</f>
        <v>3.2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IFERROR(AVERAGEIF(Table1[[#This Row],[Autumn Week 1]:[Spring Exams]],"&gt;0",Table1[[#This Row],[Autumn Week 1]:[Spring Exams]])*4*Table1[[#This Row],[Credits]],0)</f>
        <v>8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IFERROR(AVERAGEIF(Table1[[#This Row],[Autumn Week 1]:[Spring Exams]],"&gt;0",Table1[[#This Row],[Autumn Week 1]:[Spring Exams]])*4*Table1[[#This Row],[Credits]],0)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IFERROR(AVERAGEIF(Table1[[#This Row],[Autumn Week 1]:[Spring Exams]],"&gt;0",Table1[[#This Row],[Autumn Week 1]:[Spring Exams]])*4*Table1[[#This Row],[Credits]],0)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IFERROR(AVERAGEIF(Table1[[#This Row],[Autumn Week 1]:[Spring Exams]],"&gt;0",Table1[[#This Row],[Autumn Week 1]:[Spring Exams]])*4*Table1[[#This Row],[Credits]],0)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IFERROR(AVERAGEIF(Table1[[#This Row],[Autumn Week 1]:[Spring Exams]],"&gt;0",Table1[[#This Row],[Autumn Week 1]:[Spring Exams]])*4*Table1[[#This Row],[Credits]],0)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IFERROR(AVERAGEIF(Table1[[#This Row],[Autumn Week 1]:[Spring Exams]],"&gt;0",Table1[[#This Row],[Autumn Week 1]:[Spring Exams]])*4*Table1[[#This Row],[Credits]],0)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IFERROR(AVERAGEIF(Table1[[#This Row],[Autumn Week 1]:[Spring Exams]],"&gt;0",Table1[[#This Row],[Autumn Week 1]:[Spring Exams]])*4*Table1[[#This Row],[Credits]],0)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IFERROR(AVERAGEIF(Table1[[#This Row],[Autumn Week 1]:[Spring Exams]],"&gt;0",Table1[[#This Row],[Autumn Week 1]:[Spring Exams]])*4*Table1[[#This Row],[Credits]],0)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IFERROR(AVERAGEIF(Table1[[#This Row],[Autumn Week 1]:[Spring Exams]],"&gt;0",Table1[[#This Row],[Autumn Week 1]:[Spring Exams]])*4*Table1[[#This Row],[Credits]],0)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IFERROR(AVERAGEIF(Table1[[#This Row],[Autumn Week 1]:[Spring Exams]],"&gt;0",Table1[[#This Row],[Autumn Week 1]:[Spring Exams]])*4*Table1[[#This Row],[Credits]],0)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IFERROR(AVERAGEIF(Table1[[#This Row],[Autumn Week 1]:[Spring Exams]],"&gt;0",Table1[[#This Row],[Autumn Week 1]:[Spring Exams]])*4*Table1[[#This Row],[Credits]],0)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IFERROR(AVERAGEIF(Table1[[#This Row],[Autumn Week 1]:[Spring Exams]],"&gt;0",Table1[[#This Row],[Autumn Week 1]:[Spring Exams]])*4*Table1[[#This Row],[Credits]],0)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IFERROR(AVERAGEIF(Table1[[#This Row],[Autumn Week 1]:[Spring Exams]],"&gt;0",Table1[[#This Row],[Autumn Week 1]:[Spring Exams]])*4*Table1[[#This Row],[Credits]],0)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IFERROR(AVERAGEIF(Table1[[#This Row],[Autumn Week 1]:[Spring Exams]],"&gt;0",Table1[[#This Row],[Autumn Week 1]:[Spring Exams]])*4*Table1[[#This Row],[Credits]],0)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IFERROR(AVERAGEIF(Table1[[#This Row],[Autumn Week 1]:[Spring Exams]],"&gt;0",Table1[[#This Row],[Autumn Week 1]:[Spring Exams]])*4*Table1[[#This Row],[Credits]],0)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IFERROR(AVERAGEIF(Table1[[#This Row],[Autumn Week 1]:[Spring Exams]],"&gt;0",Table1[[#This Row],[Autumn Week 1]:[Spring Exams]])*4*Table1[[#This Row],[Credits]],0)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IFERROR(AVERAGEIF(Table1[[#This Row],[Autumn Week 1]:[Spring Exams]],"&gt;0",Table1[[#This Row],[Autumn Week 1]:[Spring Exams]])*4*Table1[[#This Row],[Credits]],0)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4.0000000000000009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12.000000000000004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IFERROR(AVERAGEIF(Table1[[#This Row],[Autumn Week 1]:[Spring Exams]],"&gt;0",Table1[[#This Row],[Autumn Week 1]:[Spring Exams]])*4*Table1[[#This Row],[Credits]],0)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IFERROR(AVERAGEIF(Table1[[#This Row],[Autumn Week 1]:[Spring Exams]],"&gt;0",Table1[[#This Row],[Autumn Week 1]:[Spring Exams]])*4*Table1[[#This Row],[Credits]],0)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IFERROR(AVERAGEIF(Table1[[#This Row],[Autumn Week 1]:[Spring Exams]],"&gt;0",Table1[[#This Row],[Autumn Week 1]:[Spring Exams]])*4*Table1[[#This Row],[Credits]],0)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IFERROR(AVERAGEIF(Table1[[#This Row],[Autumn Week 1]:[Spring Exams]],"&gt;0",Table1[[#This Row],[Autumn Week 1]:[Spring Exams]])*4*Table1[[#This Row],[Credits]],0)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IFERROR(AVERAGEIF(Table1[[#This Row],[Autumn Week 1]:[Spring Exams]],"&gt;0",Table1[[#This Row],[Autumn Week 1]:[Spring Exams]])*4*Table1[[#This Row],[Credits]],0)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IFERROR(AVERAGEIF(Table1[[#This Row],[Autumn Week 1]:[Spring Exams]],"&gt;0",Table1[[#This Row],[Autumn Week 1]:[Spring Exams]])*4*Table1[[#This Row],[Credits]],0)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IFERROR(AVERAGEIF(Table1[[#This Row],[Autumn Week 1]:[Spring Exams]],"&gt;0",Table1[[#This Row],[Autumn Week 1]:[Spring Exams]])*4*Table1[[#This Row],[Credits]],0)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IFERROR(AVERAGEIF(Table1[[#This Row],[Autumn Week 1]:[Spring Exams]],"&gt;0",Table1[[#This Row],[Autumn Week 1]:[Spring Exams]])*4*Table1[[#This Row],[Credits]],0)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0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IFERROR(AVERAGEIF(Table1[[#This Row],[Autumn Week 1]:[Spring Exams]],"&gt;0",Table1[[#This Row],[Autumn Week 1]:[Spring Exams]])*4*Table1[[#This Row],[Credits]],0)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IFERROR(AVERAGEIF(Table1[[#This Row],[Autumn Week 1]:[Spring Exams]],"&gt;0",Table1[[#This Row],[Autumn Week 1]:[Spring Exams]])*4*Table1[[#This Row],[Credits]],0)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IFERROR(AVERAGEIF(Table1[[#This Row],[Autumn Week 1]:[Spring Exams]],"&gt;0",Table1[[#This Row],[Autumn Week 1]:[Spring Exams]])*4*Table1[[#This Row],[Credits]],0)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IFERROR(AVERAGEIF(Table1[[#This Row],[Autumn Week 1]:[Spring Exams]],"&gt;0",Table1[[#This Row],[Autumn Week 1]:[Spring Exams]])*4*Table1[[#This Row],[Credits]],0)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IFERROR(AVERAGEIF(Table1[[#This Row],[Autumn Week 1]:[Spring Exams]],"&gt;0",Table1[[#This Row],[Autumn Week 1]:[Spring Exams]])*4*Table1[[#This Row],[Credits]],0)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IFERROR(AVERAGEIF(Table1[[#This Row],[Autumn Week 1]:[Spring Exams]],"&gt;0",Table1[[#This Row],[Autumn Week 1]:[Spring Exams]])*4*Table1[[#This Row],[Credits]],0)</f>
        <v>8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IFERROR(AVERAGEIF(Table1[[#This Row],[Autumn Week 1]:[Spring Exams]],"&gt;0",Table1[[#This Row],[Autumn Week 1]:[Spring Exams]])*4*Table1[[#This Row],[Credits]],0)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IFERROR(AVERAGEIF(Table1[[#This Row],[Autumn Week 1]:[Spring Exams]],"&gt;0",Table1[[#This Row],[Autumn Week 1]:[Spring Exams]])*4*Table1[[#This Row],[Credits]],0)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IFERROR(AVERAGEIF(Table1[[#This Row],[Autumn Week 1]:[Spring Exams]],"&gt;0",Table1[[#This Row],[Autumn Week 1]:[Spring Exams]])*4*Table1[[#This Row],[Credits]],0)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IFERROR(AVERAGEIF(Table1[[#This Row],[Autumn Week 1]:[Spring Exams]],"&gt;0",Table1[[#This Row],[Autumn Week 1]:[Spring Exams]])*4*Table1[[#This Row],[Credits]],0)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IFERROR(AVERAGEIF(Table1[[#This Row],[Autumn Week 1]:[Spring Exams]],"&gt;0",Table1[[#This Row],[Autumn Week 1]:[Spring Exams]])*4*Table1[[#This Row],[Credits]],0)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IFERROR(AVERAGEIF(Table1[[#This Row],[Autumn Week 1]:[Spring Exams]],"&gt;0",Table1[[#This Row],[Autumn Week 1]:[Spring Exams]])*4*Table1[[#This Row],[Credits]],0)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IFERROR(AVERAGEIF(Table1[[#This Row],[Autumn Week 1]:[Spring Exams]],"&gt;0",Table1[[#This Row],[Autumn Week 1]:[Spring Exams]])*4*Table1[[#This Row],[Credits]],0)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IFERROR(AVERAGEIF(Table1[[#This Row],[Autumn Week 1]:[Spring Exams]],"&gt;0",Table1[[#This Row],[Autumn Week 1]:[Spring Exams]])*4*Table1[[#This Row],[Credits]],0)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IFERROR(AVERAGEIF(Table1[[#This Row],[Autumn Week 1]:[Spring Exams]],"&gt;0",Table1[[#This Row],[Autumn Week 1]:[Spring Exams]])*4*Table1[[#This Row],[Credits]],0)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IFERROR(AVERAGEIF(Table1[[#This Row],[Autumn Week 1]:[Spring Exams]],"&gt;0",Table1[[#This Row],[Autumn Week 1]:[Spring Exams]])*4*Table1[[#This Row],[Credits]],0)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IFERROR(AVERAGEIF(Table1[[#This Row],[Autumn Week 1]:[Spring Exams]],"&gt;0",Table1[[#This Row],[Autumn Week 1]:[Spring Exams]])*4*Table1[[#This Row],[Credits]],0)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IFERROR(AVERAGEIF(Table1[[#This Row],[Autumn Week 1]:[Spring Exams]],"&gt;0",Table1[[#This Row],[Autumn Week 1]:[Spring Exams]])*4*Table1[[#This Row],[Credits]],0)</f>
        <v>0.49999999999999994</v>
      </c>
      <c r="K116" s="11">
        <v>0.5</v>
      </c>
      <c r="L116" s="18"/>
      <c r="M116" s="18">
        <v>-1.2999999999999999E-2</v>
      </c>
      <c r="N116" s="18">
        <v>-1.2999999999999999E-2</v>
      </c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8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IFERROR(AVERAGEIF(Table1[[#This Row],[Autumn Week 1]:[Spring Exams]],"&gt;0",Table1[[#This Row],[Autumn Week 1]:[Spring Exams]])*4*Table1[[#This Row],[Credits]],0)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IFERROR(AVERAGEIF(Table1[[#This Row],[Autumn Week 1]:[Spring Exams]],"&gt;0",Table1[[#This Row],[Autumn Week 1]:[Spring Exams]])*4*Table1[[#This Row],[Credits]],0)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IFERROR(AVERAGEIF(Table1[[#This Row],[Autumn Week 1]:[Spring Exams]],"&gt;0",Table1[[#This Row],[Autumn Week 1]:[Spring Exams]])*4*Table1[[#This Row],[Credits]],0)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IFERROR(AVERAGEIF(Table1[[#This Row],[Autumn Week 1]:[Spring Exams]],"&gt;0",Table1[[#This Row],[Autumn Week 1]:[Spring Exams]])*4*Table1[[#This Row],[Credits]],0)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IFERROR(AVERAGEIF(Table1[[#This Row],[Autumn Week 1]:[Spring Exams]],"&gt;0",Table1[[#This Row],[Autumn Week 1]:[Spring Exams]])*4*Table1[[#This Row],[Credits]],0)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IFERROR(AVERAGEIF(Table1[[#This Row],[Autumn Week 1]:[Spring Exams]],"&gt;0",Table1[[#This Row],[Autumn Week 1]:[Spring Exams]])*4*Table1[[#This Row],[Credits]],0)</f>
        <v>14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14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IFERROR(AVERAGEIF(Table1[[#This Row],[Autumn Week 1]:[Spring Exams]],"&gt;0",Table1[[#This Row],[Autumn Week 1]:[Spring Exams]])*4*Table1[[#This Row],[Credits]],0)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IFERROR(AVERAGEIF(Table1[[#This Row],[Autumn Week 1]:[Spring Exams]],"&gt;0",Table1[[#This Row],[Autumn Week 1]:[Spring Exams]])*4*Table1[[#This Row],[Credits]],0)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IFERROR(AVERAGEIF(Table1[[#This Row],[Autumn Week 1]:[Spring Exams]],"&gt;0",Table1[[#This Row],[Autumn Week 1]:[Spring Exams]])*4*Table1[[#This Row],[Credits]],0)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IFERROR(AVERAGEIF(Table1[[#This Row],[Autumn Week 1]:[Spring Exams]],"&gt;0",Table1[[#This Row],[Autumn Week 1]:[Spring Exams]])*4*Table1[[#This Row],[Credits]],0)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IFERROR(AVERAGEIF(Table1[[#This Row],[Autumn Week 1]:[Spring Exams]],"&gt;0",Table1[[#This Row],[Autumn Week 1]:[Spring Exams]])*4*Table1[[#This Row],[Credits]],0)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IFERROR(AVERAGEIF(Table1[[#This Row],[Autumn Week 1]:[Spring Exams]],"&gt;0",Table1[[#This Row],[Autumn Week 1]:[Spring Exams]])*4*Table1[[#This Row],[Credits]],0)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IFERROR(AVERAGEIF(Table1[[#This Row],[Autumn Week 1]:[Spring Exams]],"&gt;0",Table1[[#This Row],[Autumn Week 1]:[Spring Exams]])*4*Table1[[#This Row],[Credits]],0)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IFERROR(AVERAGEIF(Table1[[#This Row],[Autumn Week 1]:[Spring Exams]],"&gt;0",Table1[[#This Row],[Autumn Week 1]:[Spring Exams]])*4*Table1[[#This Row],[Credits]],0)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IFERROR(AVERAGEIF(Table1[[#This Row],[Autumn Week 1]:[Spring Exams]],"&gt;0",Table1[[#This Row],[Autumn Week 1]:[Spring Exams]])*4*Table1[[#This Row],[Credits]],0)</f>
        <v>0.39999999999999991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IFERROR(AVERAGEIF(Table1[[#This Row],[Autumn Week 1]:[Spring Exams]],"&gt;0",Table1[[#This Row],[Autumn Week 1]:[Spring Exams]])*4*Table1[[#This Row],[Credits]],0)</f>
        <v>8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16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IFERROR(AVERAGEIF(Table1[[#This Row],[Autumn Week 1]:[Spring Exams]],"&gt;0",Table1[[#This Row],[Autumn Week 1]:[Spring Exams]])*4*Table1[[#This Row],[Credits]],0)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8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>
        <v>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8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IFERROR(AVERAGEIF(Table1[[#This Row],[Autumn Week 1]:[Spring Exams]],"&gt;0",Table1[[#This Row],[Autumn Week 1]:[Spring Exams]])*4*Table1[[#This Row],[Credits]],0)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IFERROR(AVERAGEIF(Table1[[#This Row],[Autumn Week 1]:[Spring Exams]],"&gt;0",Table1[[#This Row],[Autumn Week 1]:[Spring Exams]])*4*Table1[[#This Row],[Credits]],0)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IFERROR(AVERAGEIF(Table1[[#This Row],[Autumn Week 1]:[Spring Exams]],"&gt;0",Table1[[#This Row],[Autumn Week 1]:[Spring Exams]])*4*Table1[[#This Row],[Credits]],0)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IFERROR(AVERAGEIF(Table1[[#This Row],[Autumn Week 1]:[Spring Exams]],"&gt;0",Table1[[#This Row],[Autumn Week 1]:[Spring Exams]])*4*Table1[[#This Row],[Credits]],0)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IFERROR(AVERAGEIF(Table1[[#This Row],[Autumn Week 1]:[Spring Exams]],"&gt;0",Table1[[#This Row],[Autumn Week 1]:[Spring Exams]])*4*Table1[[#This Row],[Credits]],0)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IFERROR(AVERAGEIF(Table1[[#This Row],[Autumn Week 1]:[Spring Exams]],"&gt;0",Table1[[#This Row],[Autumn Week 1]:[Spring Exams]])*4*Table1[[#This Row],[Credits]],0)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IFERROR(AVERAGEIF(Table1[[#This Row],[Autumn Week 1]:[Spring Exams]],"&gt;0",Table1[[#This Row],[Autumn Week 1]:[Spring Exams]])*4*Table1[[#This Row],[Credits]],0)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IFERROR(AVERAGEIF(Table1[[#This Row],[Autumn Week 1]:[Spring Exams]],"&gt;0",Table1[[#This Row],[Autumn Week 1]:[Spring Exams]])*4*Table1[[#This Row],[Credits]],0)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IFERROR(AVERAGEIF(Table1[[#This Row],[Autumn Week 1]:[Spring Exams]],"&gt;0",Table1[[#This Row],[Autumn Week 1]:[Spring Exams]])*4*Table1[[#This Row],[Credits]],0)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IFERROR(AVERAGEIF(Table1[[#This Row],[Autumn Week 1]:[Spring Exams]],"&gt;0",Table1[[#This Row],[Autumn Week 1]:[Spring Exams]])*4*Table1[[#This Row],[Credits]],0)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IFERROR(AVERAGEIF(Table1[[#This Row],[Autumn Week 1]:[Spring Exams]],"&gt;0",Table1[[#This Row],[Autumn Week 1]:[Spring Exams]])*4*Table1[[#This Row],[Credits]],0)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IFERROR(AVERAGEIF(Table1[[#This Row],[Autumn Week 1]:[Spring Exams]],"&gt;0",Table1[[#This Row],[Autumn Week 1]:[Spring Exams]])*4*Table1[[#This Row],[Credits]],0)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IFERROR(AVERAGEIF(Table1[[#This Row],[Autumn Week 1]:[Spring Exams]],"&gt;0",Table1[[#This Row],[Autumn Week 1]:[Spring Exams]])*4*Table1[[#This Row],[Credits]],0)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IFERROR(AVERAGEIF(Table1[[#This Row],[Autumn Week 1]:[Spring Exams]],"&gt;0",Table1[[#This Row],[Autumn Week 1]:[Spring Exams]])*4*Table1[[#This Row],[Credits]],0)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IFERROR(AVERAGEIF(Table1[[#This Row],[Autumn Week 1]:[Spring Exams]],"&gt;0",Table1[[#This Row],[Autumn Week 1]:[Spring Exams]])*4*Table1[[#This Row],[Credits]],0)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IFERROR(AVERAGEIF(Table1[[#This Row],[Autumn Week 1]:[Spring Exams]],"&gt;0",Table1[[#This Row],[Autumn Week 1]:[Spring Exams]])*4*Table1[[#This Row],[Credits]],0)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IFERROR(AVERAGEIF(Table1[[#This Row],[Autumn Week 1]:[Spring Exams]],"&gt;0",Table1[[#This Row],[Autumn Week 1]:[Spring Exams]])*4*Table1[[#This Row],[Credits]],0)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IFERROR(AVERAGEIF(Table1[[#This Row],[Autumn Week 1]:[Spring Exams]],"&gt;0",Table1[[#This Row],[Autumn Week 1]:[Spring Exams]])*4*Table1[[#This Row],[Credits]],0)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IFERROR(AVERAGEIF(Table1[[#This Row],[Autumn Week 1]:[Spring Exams]],"&gt;0",Table1[[#This Row],[Autumn Week 1]:[Spring Exams]])*4*Table1[[#This Row],[Credits]],0)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IFERROR(AVERAGEIF(Table1[[#This Row],[Autumn Week 1]:[Spring Exams]],"&gt;0",Table1[[#This Row],[Autumn Week 1]:[Spring Exams]])*4*Table1[[#This Row],[Credits]],0)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82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3" priority="12" operator="containsText" text="SEMD">
      <formula>NOT(ISERROR(SEARCH("SEMD",E2)))</formula>
    </cfRule>
    <cfRule type="containsText" dxfId="12" priority="13" operator="containsText" text="SEM2">
      <formula>NOT(ISERROR(SEARCH("SEM2",E2)))</formula>
    </cfRule>
    <cfRule type="containsText" dxfId="11" priority="14" operator="containsText" text="SEM1">
      <formula>NOT(ISERROR(SEARCH("SEM1",E2)))</formula>
    </cfRule>
  </conditionalFormatting>
  <conditionalFormatting sqref="E96:E100">
    <cfRule type="containsText" dxfId="10" priority="4" operator="containsText" text="SEMD">
      <formula>NOT(ISERROR(SEARCH("SEMD",E96)))</formula>
    </cfRule>
    <cfRule type="containsText" dxfId="9" priority="5" operator="containsText" text="SEM2">
      <formula>NOT(ISERROR(SEARCH("SEM2",E96)))</formula>
    </cfRule>
    <cfRule type="containsText" dxfId="8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7" priority="16" operator="containsText" text="O">
      <formula>NOT(ISERROR(SEARCH("O",H2)))</formula>
    </cfRule>
    <cfRule type="containsText" dxfId="6" priority="17" operator="containsText" text="C">
      <formula>NOT(ISERROR(SEARCH("C",H2)))</formula>
    </cfRule>
  </conditionalFormatting>
  <conditionalFormatting sqref="T96:T100">
    <cfRule type="containsText" dxfId="3" priority="2" operator="containsText" text="O">
      <formula>NOT(ISERROR(SEARCH("O",T96)))</formula>
    </cfRule>
    <cfRule type="containsText" dxfId="2" priority="3" operator="containsText" text="C">
      <formula>NOT(ISERROR(SEARCH("C",T96)))</formula>
    </cfRule>
  </conditionalFormatting>
  <conditionalFormatting sqref="W2:W100">
    <cfRule type="expression" dxfId="1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2026-05-11T10:56:41Z</dcterms:modified>
</cp:coreProperties>
</file>